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2cc30319cea9ace/Escritorio/JOSE SEMECO/"/>
    </mc:Choice>
  </mc:AlternateContent>
  <xr:revisionPtr revIDLastSave="414" documentId="11_14F3F42315F65638F556E6750E6A61A669777974" xr6:coauthVersionLast="47" xr6:coauthVersionMax="47" xr10:uidLastSave="{D79E8487-C14B-4474-936F-0A9977DE31F6}"/>
  <bookViews>
    <workbookView xWindow="-120" yWindow="-120" windowWidth="29040" windowHeight="15720" activeTab="1" xr2:uid="{00000000-000D-0000-FFFF-FFFF00000000}"/>
  </bookViews>
  <sheets>
    <sheet name="GASTOS FIJOS PD-NE-E 2026" sheetId="1" r:id="rId1"/>
    <sheet name="GASTOS FIJOS GRUPO JE NU" sheetId="2" r:id="rId2"/>
    <sheet name="GASTOS FIJOS DIRECTIVO" sheetId="3" r:id="rId3"/>
  </sheets>
  <definedNames>
    <definedName name="_xlnm._FilterDatabase" localSheetId="0" hidden="1">'GASTOS FIJOS PD-NE-E 2026'!$A$3:$Q$66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5" i="1" l="1"/>
  <c r="L60" i="1"/>
  <c r="L48" i="1"/>
  <c r="L32" i="1"/>
  <c r="L50" i="1"/>
  <c r="L4" i="1"/>
  <c r="K64" i="1"/>
  <c r="K65" i="1"/>
  <c r="K60" i="1"/>
  <c r="K48" i="1"/>
  <c r="K32" i="1"/>
  <c r="K26" i="1"/>
  <c r="K4" i="1"/>
  <c r="J38" i="1"/>
  <c r="F10" i="2"/>
  <c r="E10" i="2"/>
  <c r="H9" i="2"/>
  <c r="I12" i="3"/>
  <c r="I13" i="2"/>
  <c r="I8" i="3" l="1"/>
  <c r="E15" i="2"/>
  <c r="F15" i="2"/>
  <c r="H15" i="2"/>
  <c r="I9" i="3"/>
  <c r="I11" i="3"/>
  <c r="I10" i="3"/>
  <c r="H13" i="2"/>
  <c r="G13" i="2"/>
  <c r="J12" i="2"/>
  <c r="I12" i="2"/>
  <c r="H12" i="2"/>
  <c r="G12" i="2"/>
  <c r="F12" i="2"/>
  <c r="E12" i="2"/>
  <c r="J16" i="1"/>
  <c r="J15" i="1"/>
  <c r="I63" i="1"/>
  <c r="I56" i="1"/>
  <c r="I59" i="1"/>
  <c r="I47" i="1"/>
  <c r="I36" i="1"/>
  <c r="I30" i="1"/>
  <c r="I24" i="1"/>
  <c r="I19" i="1"/>
  <c r="J23" i="1"/>
  <c r="F11" i="2"/>
  <c r="H11" i="2"/>
  <c r="G11" i="2"/>
  <c r="E11" i="2"/>
  <c r="I21" i="1"/>
  <c r="H10" i="2"/>
  <c r="H63" i="1"/>
  <c r="H56" i="1"/>
  <c r="H59" i="1"/>
  <c r="H47" i="1"/>
  <c r="H36" i="1"/>
  <c r="H30" i="1"/>
  <c r="H24" i="1"/>
  <c r="H19" i="1"/>
  <c r="I7" i="2"/>
  <c r="D7" i="2"/>
  <c r="H7" i="2"/>
  <c r="I8" i="2"/>
  <c r="H8" i="2"/>
  <c r="J61" i="1"/>
  <c r="J28" i="1"/>
  <c r="J57" i="1"/>
  <c r="I28" i="1"/>
  <c r="I57" i="1"/>
  <c r="I51" i="1"/>
  <c r="I5" i="1"/>
  <c r="J42" i="1"/>
  <c r="J35" i="1"/>
  <c r="I14" i="1"/>
  <c r="J45" i="1"/>
  <c r="J34" i="1"/>
  <c r="J27" i="1"/>
  <c r="J22" i="1"/>
  <c r="J7" i="1"/>
  <c r="J62" i="1"/>
  <c r="J54" i="1"/>
  <c r="J44" i="1"/>
  <c r="J33" i="1"/>
  <c r="J49" i="1"/>
  <c r="J6" i="1"/>
  <c r="I58" i="1"/>
  <c r="J64" i="1"/>
  <c r="J26" i="1"/>
  <c r="J25" i="1"/>
  <c r="J65" i="1"/>
  <c r="J48" i="1"/>
  <c r="J32" i="1"/>
  <c r="J50" i="1"/>
  <c r="J4" i="1"/>
  <c r="I50" i="1"/>
  <c r="I4" i="1"/>
  <c r="H50" i="1"/>
  <c r="H4" i="1"/>
  <c r="G50" i="1"/>
  <c r="G4" i="1"/>
  <c r="F50" i="1"/>
  <c r="F4" i="1"/>
  <c r="G7" i="3"/>
  <c r="H7" i="3"/>
  <c r="I7" i="3"/>
  <c r="I5" i="3"/>
  <c r="H6" i="2"/>
  <c r="H5" i="3" l="1"/>
  <c r="H4" i="2"/>
  <c r="H8" i="3"/>
  <c r="H12" i="3"/>
  <c r="G12" i="3"/>
  <c r="H9" i="3"/>
  <c r="G9" i="3"/>
  <c r="G8" i="3"/>
  <c r="G7" i="2" l="1"/>
  <c r="F7" i="2"/>
  <c r="H11" i="3"/>
  <c r="H10" i="3"/>
  <c r="G11" i="3"/>
  <c r="G10" i="3"/>
  <c r="G4" i="2"/>
  <c r="F4" i="2"/>
  <c r="E4" i="2"/>
  <c r="I42" i="1"/>
  <c r="I35" i="1"/>
  <c r="I18" i="1"/>
  <c r="G31" i="1"/>
  <c r="H58" i="1" l="1"/>
  <c r="G10" i="2" l="1"/>
  <c r="H21" i="1"/>
  <c r="I41" i="1" l="1"/>
  <c r="I39" i="1"/>
  <c r="I16" i="1"/>
  <c r="I38" i="1"/>
  <c r="I40" i="1"/>
  <c r="I8" i="1"/>
  <c r="I22" i="1"/>
  <c r="I7" i="1"/>
  <c r="I54" i="1"/>
  <c r="I62" i="1"/>
  <c r="I45" i="1"/>
  <c r="I34" i="1"/>
  <c r="I27" i="1"/>
  <c r="I44" i="1"/>
  <c r="I33" i="1"/>
  <c r="I49" i="1"/>
  <c r="I6" i="1"/>
  <c r="I64" i="1"/>
  <c r="I26" i="1"/>
  <c r="I25" i="1"/>
  <c r="I60" i="1"/>
  <c r="I48" i="1"/>
  <c r="I65" i="1"/>
  <c r="I32" i="1"/>
  <c r="H42" i="1"/>
  <c r="H35" i="1"/>
  <c r="H57" i="1"/>
  <c r="H28" i="1"/>
  <c r="H61" i="1"/>
  <c r="I61" i="1"/>
  <c r="I23" i="1" l="1"/>
  <c r="H23" i="1" l="1"/>
  <c r="H15" i="1" l="1"/>
  <c r="I15" i="1" l="1"/>
  <c r="H51" i="1" l="1"/>
  <c r="H5" i="1"/>
  <c r="H16" i="1" l="1"/>
  <c r="H8" i="1" l="1"/>
  <c r="H62" i="1" l="1"/>
  <c r="H54" i="1"/>
  <c r="H45" i="1"/>
  <c r="H34" i="1"/>
  <c r="H27" i="1"/>
  <c r="H22" i="1"/>
  <c r="H7" i="1"/>
  <c r="G58" i="1"/>
  <c r="F14" i="3"/>
  <c r="F9" i="3"/>
  <c r="F11" i="3"/>
  <c r="F10" i="3"/>
  <c r="G21" i="1"/>
  <c r="G8" i="1" l="1"/>
  <c r="H33" i="1" l="1"/>
  <c r="H49" i="1"/>
  <c r="H44" i="1"/>
  <c r="H6" i="1"/>
  <c r="G6" i="2" l="1"/>
  <c r="G8" i="2"/>
  <c r="H14" i="1" l="1"/>
  <c r="H26" i="1"/>
  <c r="H25" i="1"/>
  <c r="G63" i="1" l="1"/>
  <c r="G56" i="1"/>
  <c r="G59" i="1"/>
  <c r="G47" i="1"/>
  <c r="G36" i="1"/>
  <c r="G30" i="1"/>
  <c r="G24" i="1"/>
  <c r="G19" i="1"/>
  <c r="G14" i="1" l="1"/>
  <c r="G5" i="3" l="1"/>
  <c r="H64" i="1"/>
  <c r="H65" i="1"/>
  <c r="H60" i="1"/>
  <c r="H48" i="1"/>
  <c r="H32" i="1"/>
  <c r="G53" i="1" l="1"/>
  <c r="G15" i="1" l="1"/>
  <c r="H66" i="1" l="1"/>
  <c r="I66" i="1"/>
  <c r="J66" i="1"/>
  <c r="K66" i="1"/>
  <c r="L66" i="1"/>
  <c r="M66" i="1"/>
  <c r="N66" i="1"/>
  <c r="O66" i="1"/>
  <c r="P66" i="1"/>
  <c r="Q66" i="1"/>
  <c r="E66" i="1"/>
  <c r="F36" i="1"/>
  <c r="F30" i="1"/>
  <c r="F19" i="1"/>
  <c r="G35" i="1" l="1"/>
  <c r="G42" i="1"/>
  <c r="F15" i="3" l="1"/>
  <c r="E15" i="3"/>
  <c r="F12" i="3"/>
  <c r="E12" i="3"/>
  <c r="E11" i="3"/>
  <c r="G46" i="1"/>
  <c r="F8" i="3"/>
  <c r="E14" i="3"/>
  <c r="F21" i="1" l="1"/>
  <c r="G16" i="1"/>
  <c r="G18" i="1"/>
  <c r="G17" i="1"/>
  <c r="F18" i="1"/>
  <c r="G41" i="1"/>
  <c r="G40" i="1"/>
  <c r="G39" i="1"/>
  <c r="G38" i="1"/>
  <c r="G25" i="1"/>
  <c r="G26" i="1"/>
  <c r="G12" i="1"/>
  <c r="F31" i="1"/>
  <c r="F14" i="1"/>
  <c r="G62" i="1"/>
  <c r="G54" i="1"/>
  <c r="G34" i="1"/>
  <c r="G45" i="1"/>
  <c r="G27" i="1"/>
  <c r="G7" i="1"/>
  <c r="G33" i="1"/>
  <c r="G44" i="1"/>
  <c r="G49" i="1"/>
  <c r="G6" i="1"/>
  <c r="G61" i="1"/>
  <c r="G28" i="1"/>
  <c r="G57" i="1"/>
  <c r="G51" i="1"/>
  <c r="G5" i="1"/>
  <c r="E6" i="2"/>
  <c r="E8" i="2"/>
  <c r="F58" i="1"/>
  <c r="E7" i="2"/>
  <c r="F7" i="3"/>
  <c r="E7" i="3"/>
  <c r="E5" i="3"/>
  <c r="F5" i="3"/>
  <c r="F12" i="1" l="1"/>
  <c r="E9" i="3"/>
  <c r="E10" i="3"/>
  <c r="E8" i="3"/>
  <c r="F6" i="2"/>
  <c r="F8" i="2"/>
  <c r="F53" i="1"/>
  <c r="F46" i="1"/>
  <c r="F15" i="1"/>
  <c r="F16" i="1"/>
  <c r="F42" i="1"/>
  <c r="F35" i="1"/>
  <c r="F54" i="1"/>
  <c r="F34" i="1"/>
  <c r="F27" i="1"/>
  <c r="F45" i="1"/>
  <c r="F62" i="1"/>
  <c r="F7" i="1"/>
  <c r="F44" i="1"/>
  <c r="F33" i="1"/>
  <c r="F49" i="1"/>
  <c r="F6" i="1"/>
  <c r="F8" i="1"/>
  <c r="F55" i="1"/>
  <c r="F29" i="1"/>
  <c r="F28" i="1"/>
  <c r="F61" i="1"/>
  <c r="F51" i="1"/>
  <c r="F5" i="1"/>
  <c r="F26" i="1"/>
  <c r="F64" i="1"/>
  <c r="F25" i="1"/>
  <c r="F52" i="1"/>
  <c r="F65" i="1"/>
  <c r="F60" i="1"/>
  <c r="F48" i="1"/>
  <c r="F32" i="1"/>
  <c r="G64" i="1"/>
  <c r="G65" i="1"/>
  <c r="G60" i="1"/>
  <c r="G48" i="1"/>
  <c r="G32" i="1"/>
  <c r="F66" i="1" l="1"/>
  <c r="G66" i="1"/>
  <c r="H17" i="3"/>
  <c r="I17" i="3"/>
  <c r="J17" i="3"/>
  <c r="K17" i="3"/>
  <c r="L17" i="3"/>
  <c r="M17" i="3"/>
  <c r="N17" i="3"/>
  <c r="O17" i="3"/>
  <c r="P17" i="3"/>
  <c r="D17" i="3"/>
  <c r="H16" i="2"/>
  <c r="I16" i="2"/>
  <c r="J16" i="2"/>
  <c r="K16" i="2"/>
  <c r="L16" i="2"/>
  <c r="M16" i="2"/>
  <c r="N16" i="2"/>
  <c r="O16" i="2"/>
  <c r="P16" i="2"/>
  <c r="G16" i="2" l="1"/>
  <c r="F16" i="2" l="1"/>
  <c r="G17" i="3" l="1"/>
  <c r="E16" i="2" l="1"/>
  <c r="D16" i="2" l="1"/>
  <c r="F17" i="3" l="1"/>
  <c r="E1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Palacio de los detalles</author>
  </authors>
  <commentList>
    <comment ref="B4" authorId="0" shapeId="0" xr:uid="{00000000-0006-0000-0000-000001000000}">
      <text>
        <r>
          <rPr>
            <b/>
            <sz val="9"/>
            <rFont val="Tahoma"/>
            <family val="2"/>
          </rPr>
          <t>CONSULTAR FACT EN EL PORTAL AIRTEK
SE PAGA EN BS
BANESCO INV DORAL
PAGO MOVIL
SE REGISTRA EL PAGO POR LA PAGINA</t>
        </r>
      </text>
    </comment>
    <comment ref="B5" authorId="0" shapeId="0" xr:uid="{00000000-0006-0000-0000-000002000000}">
      <text>
        <r>
          <rPr>
            <b/>
            <sz val="9"/>
            <rFont val="Tahoma"/>
            <family val="2"/>
          </rPr>
          <t>CONSULTAR FACT EN CORREO PALACIODELOSDETALLESBOLIVARES@GMAIL
LOCALES 9 Y 10
SE PAGO POR TRANSFERENCIA A OTROS BANCOS CONDOMINIO DORAL
DESDE LA CUENTA BANESCO INV DORAL
NOTIFICAR EL PAGO A SR JORGE PIRE</t>
        </r>
      </text>
    </comment>
    <comment ref="B6" authorId="0" shapeId="0" xr:uid="{00000000-0006-0000-0000-000003000000}">
      <text>
        <r>
          <rPr>
            <b/>
            <sz val="9"/>
            <rFont val="Tahoma"/>
            <family val="2"/>
          </rPr>
          <t>PARA EL MONTO ESCRIBIR A ELIZABETH PINEDA 
BANESCO INV DORAL EN MULTIPAGOS</t>
        </r>
      </text>
    </comment>
    <comment ref="B8" authorId="0" shapeId="0" xr:uid="{00000000-0006-0000-0000-000004000000}">
      <text>
        <r>
          <rPr>
            <b/>
            <sz val="9"/>
            <rFont val="Tahoma"/>
            <family val="2"/>
          </rPr>
          <t>MARIA ALEJANDRA ME ESCRIBE PARA EL MONTO Y PARA RETIRAR EL EFECTIVO
FACT DIC-ENERO SE LLEVO COMPRAS A CREDITO DE LAS CUALES SE DESCONTARA 719$
SE PAGA EN EFECTIVO, TESORERIA.
ME TIENEN QUE AUTORIZAR ESTE PAGO.</t>
        </r>
      </text>
    </comment>
    <comment ref="B9" authorId="0" shapeId="0" xr:uid="{00000000-0006-0000-0000-000005000000}">
      <text>
        <r>
          <rPr>
            <b/>
            <sz val="9"/>
            <rFont val="Tahoma"/>
            <family val="2"/>
          </rPr>
          <t>ESTE PAGO SE LE HACE A PATRICIA MARKETING 
SE PAGA POR MERCANTIL PANAMA</t>
        </r>
      </text>
    </comment>
    <comment ref="B11" authorId="0" shapeId="0" xr:uid="{00000000-0006-0000-0000-000006000000}">
      <text>
        <r>
          <rPr>
            <b/>
            <sz val="9"/>
            <rFont val="Tahoma"/>
            <family val="2"/>
          </rPr>
          <t>EUDO VASQUEZ 
SE PAGA EN EFECTIVO DE CAJA CHICA
ENTREGAR RECIBO</t>
        </r>
      </text>
    </comment>
    <comment ref="B12" authorId="0" shapeId="0" xr:uid="{00000000-0006-0000-0000-000007000000}">
      <text>
        <r>
          <rPr>
            <b/>
            <sz val="9"/>
            <rFont val="Tahoma"/>
            <family val="2"/>
          </rPr>
          <t>EMIRO
SE PAGA EN EFECTIVO DE CAJA CHICA
ENTREGAR RECIBO</t>
        </r>
      </text>
    </comment>
    <comment ref="B13" authorId="0" shapeId="0" xr:uid="{00000000-0006-0000-0000-000008000000}">
      <text>
        <r>
          <rPr>
            <b/>
            <sz val="9"/>
            <rFont val="Tahoma"/>
            <family val="2"/>
          </rPr>
          <t>LENIN
SE PAGA EN EFECTIVO DE CAJA CHICA
ENTREGAR RECIBO
10$ DE INTERCAMBIO COMERCIAL</t>
        </r>
      </text>
    </comment>
    <comment ref="B14" authorId="0" shapeId="0" xr:uid="{00000000-0006-0000-0000-000009000000}">
      <text>
        <r>
          <rPr>
            <b/>
            <sz val="9"/>
            <rFont val="Tahoma"/>
            <family val="2"/>
          </rPr>
          <t>DE BANESCO INV DORAL A BANESCO COMO DIGITEL
FACT EN EL PORTAL
USUARIO: 401722296
CONTRASENA: Aracua.27
ENVIAR EL PAGO A CORREO COBRANZAS OCCIDENTE</t>
        </r>
      </text>
    </comment>
    <comment ref="B15" authorId="0" shapeId="0" xr:uid="{00000000-0006-0000-0000-00000A000000}">
      <text>
        <r>
          <rPr>
            <b/>
            <sz val="9"/>
            <rFont val="Tahoma"/>
            <family val="2"/>
          </rPr>
          <t xml:space="preserve">DE BANESCO INV DORAL
RECARGAR LOS DIAS </t>
        </r>
      </text>
    </comment>
    <comment ref="B16" authorId="0" shapeId="0" xr:uid="{00000000-0006-0000-0000-00000B000000}">
      <text>
        <r>
          <rPr>
            <b/>
            <sz val="9"/>
            <rFont val="Tahoma"/>
            <family val="2"/>
          </rPr>
          <t>DE BANESCO INV DORAL A BANESCO 
RECARGAR LOS 17</t>
        </r>
      </text>
    </comment>
    <comment ref="B21" authorId="0" shapeId="0" xr:uid="{00000000-0006-0000-0000-00000C000000}">
      <text>
        <r>
          <rPr>
            <b/>
            <sz val="9"/>
            <rFont val="Tahoma"/>
            <family val="2"/>
          </rPr>
          <t>ESCRIBIR A CONDOMINIO VIRTUDES PARA SOLICITAR LA FACTURA
SE PAGA POR LNACEH SPORT MISMO BANCO BANESCO CONDOMINIO</t>
        </r>
      </text>
    </comment>
    <comment ref="B26" authorId="0" shapeId="0" xr:uid="{00000000-0006-0000-0000-00000D000000}">
      <text>
        <r>
          <rPr>
            <b/>
            <sz val="9"/>
            <rFont val="Tahoma"/>
            <family val="2"/>
          </rPr>
          <t>CONSULTO EL MONTO EN LA PAGINA 
USUARIO 409254852
CONTRASENA IGUAL
SE PAGA DESDE BANESCO LNACEH SPORT POR PAGO MOVIL</t>
        </r>
      </text>
    </comment>
    <comment ref="B31" authorId="0" shapeId="0" xr:uid="{00000000-0006-0000-0000-00000E000000}">
      <text>
        <r>
          <rPr>
            <b/>
            <sz val="9"/>
            <rFont val="Tahoma"/>
            <family val="2"/>
          </rPr>
          <t>ESTA PAGO HASTA MARZO
SE PAGA EN EFECTIVO 
SE ENTREGA A AURIS</t>
        </r>
      </text>
    </comment>
    <comment ref="B32" authorId="0" shapeId="0" xr:uid="{00000000-0006-0000-0000-00000F000000}">
      <text>
        <r>
          <rPr>
            <b/>
            <sz val="9"/>
            <rFont val="Tahoma"/>
            <family val="2"/>
          </rPr>
          <t>CONSULTAR FACT EN EL PORTAL AIRTEK CON EL RIF
SE PAGA EN BS
BANESCO LNACEH
PAGO MOVIL
SE REGISTRA EL PAGO POR LA PAGINA</t>
        </r>
      </text>
    </comment>
    <comment ref="B33" authorId="0" shapeId="0" xr:uid="{00000000-0006-0000-0000-000010000000}">
      <text>
        <r>
          <rPr>
            <b/>
            <sz val="9"/>
            <rFont val="Tahoma"/>
            <family val="2"/>
          </rPr>
          <t>PARA EL MONTO ESCRIBIR A ELIZABETH PINEDA 
BANESCO LNACEH EN MULTIPAGOS</t>
        </r>
      </text>
    </comment>
    <comment ref="B37" authorId="0" shapeId="0" xr:uid="{00000000-0006-0000-0000-000011000000}">
      <text>
        <r>
          <rPr>
            <b/>
            <sz val="9"/>
            <rFont val="Tahoma"/>
            <family val="2"/>
          </rPr>
          <t>ESPERO AUTORIZACION PARA EL PAGO, SE LE ENTREGA A RABIH, EL VIENE Y ESCRIBE.
SE LE HACE UN RECIBO 
EL EFECTIVO SE LE SOLICITA A TESORERIA</t>
        </r>
      </text>
    </comment>
    <comment ref="B44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Palacio de los detalles:</t>
        </r>
        <r>
          <rPr>
            <sz val="9"/>
            <color indexed="81"/>
            <rFont val="Tahoma"/>
            <family val="2"/>
          </rPr>
          <t xml:space="preserve">
NUEVO LOCAL CENTRO CALLE ZAMORA 
N° CONTRATO: 1000040390727</t>
        </r>
      </text>
    </comment>
    <comment ref="B48" authorId="0" shapeId="0" xr:uid="{00000000-0006-0000-0000-000013000000}">
      <text>
        <r>
          <rPr>
            <b/>
            <sz val="9"/>
            <rFont val="Tahoma"/>
            <family val="2"/>
          </rPr>
          <t>CONSULTAR FACT EN EL PORTAL AIRTEK CON EL RIF
SE PAGA EN BS
BANESCO LNACEH
PAGO MOVIL
SE REGISTRA EL PAGO POR LA PAGINA</t>
        </r>
      </text>
    </comment>
    <comment ref="B49" authorId="0" shapeId="0" xr:uid="{00000000-0006-0000-0000-000014000000}">
      <text>
        <r>
          <rPr>
            <b/>
            <sz val="9"/>
            <rFont val="Tahoma"/>
            <family val="2"/>
          </rPr>
          <t>PARA EL MONTO ESCRIBIR A ELIZABETH PINEDA 
BANESCO INV DORAL EN MULTIPAGOS</t>
        </r>
      </text>
    </comment>
    <comment ref="B50" authorId="0" shapeId="0" xr:uid="{914A0ADF-3AC5-4972-B9B6-5F9BEECC36F5}">
      <text>
        <r>
          <rPr>
            <b/>
            <sz val="9"/>
            <rFont val="Tahoma"/>
            <family val="2"/>
          </rPr>
          <t>CONSULTAR FACT EN EL PORTAL AIRTEK
SE PAGA EN BS
BANESCO INV DORAL
PAGO MOVIL
SE REGISTRA EL PAGO POR LA PAGINA</t>
        </r>
      </text>
    </comment>
    <comment ref="B51" authorId="0" shapeId="0" xr:uid="{00000000-0006-0000-0000-000015000000}">
      <text>
        <r>
          <rPr>
            <b/>
            <sz val="9"/>
            <rFont val="Tahoma"/>
            <family val="2"/>
          </rPr>
          <t>CONSULTAR FACT EN CORREO PALACIODELOSDETALLESBOLIVARES@GMAIL
LOCALES 22
SE PAGO POR TRANSFERENCIA A TERCEROS CONDOMINIO DORAL
DESDE LA CUENTA BANESCO INV DORAL
NOTIFICAR EL PAGO A SR JORGE PIRE</t>
        </r>
      </text>
    </comment>
    <comment ref="B52" authorId="0" shapeId="0" xr:uid="{00000000-0006-0000-0000-000016000000}">
      <text>
        <r>
          <rPr>
            <b/>
            <sz val="9"/>
            <rFont val="Tahoma"/>
            <family val="2"/>
          </rPr>
          <t>CONSULTO EL MONTO EN LA PAGINA 
USUARIO 24525502
CONTRASENA IGUAL
SE PAGA DESDE BANESCO NUNES STORE POR PAGO MOVIL</t>
        </r>
      </text>
    </comment>
    <comment ref="B55" authorId="0" shapeId="0" xr:uid="{00000000-0006-0000-0000-000017000000}">
      <text>
        <r>
          <rPr>
            <b/>
            <sz val="9"/>
            <rFont val="Tahoma"/>
            <family val="2"/>
          </rPr>
          <t>ME PASAN LA FACTURA POR EL GRUPO DE NUNES 
SE PAGA POR BANESCO NUNES STORE TERCEROS CONDOMINIO
Y EL PAGO SE PASA POR EL GRUPO DE REPORTES NUNES STORE</t>
        </r>
      </text>
    </comment>
    <comment ref="B58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Palacio de los detalles:</t>
        </r>
        <r>
          <rPr>
            <sz val="9"/>
            <color indexed="81"/>
            <rFont val="Tahoma"/>
            <family val="2"/>
          </rPr>
          <t xml:space="preserve">
CLIENTE: NOHELI MARINA MARTINEZ MALDONADO
C.I.: 5.290.712
N° CONTRATO: K370003088072.0</t>
        </r>
      </text>
    </comment>
    <comment ref="B60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Palacio de los detalles:</t>
        </r>
        <r>
          <rPr>
            <sz val="9"/>
            <color indexed="81"/>
            <rFont val="Tahoma"/>
            <family val="2"/>
          </rPr>
          <t xml:space="preserve">
CLIENTE: NOHELI MARINA MARTINEZ MALDONADO
C.I.: 5.290.712
N° CONTRATO: K370003088072.0</t>
        </r>
      </text>
    </comment>
    <comment ref="B61" authorId="0" shapeId="0" xr:uid="{00000000-0006-0000-0000-00001A000000}">
      <text>
        <r>
          <rPr>
            <b/>
            <sz val="9"/>
            <rFont val="Tahoma"/>
            <family val="2"/>
          </rPr>
          <t>ESCRIBIR A CONDOMINIO VIRTUDES PARA SOLICITAR LA FACTURA
SE PAGA POR LNACEH SPORT MISMO BANCO BANESCO CONDOMINIO</t>
        </r>
      </text>
    </comment>
    <comment ref="D65" authorId="0" shapeId="0" xr:uid="{00000000-0006-0000-0000-00001B000000}">
      <text>
        <r>
          <rPr>
            <b/>
            <sz val="9"/>
            <rFont val="Tahoma"/>
            <family val="2"/>
          </rPr>
          <t>Palacio de los detalles:</t>
        </r>
        <r>
          <rPr>
            <sz val="9"/>
            <rFont val="Tahoma"/>
            <family val="2"/>
          </rPr>
          <t xml:space="preserve">
CEDULA DE CHUCHITO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Palacio de los detalles</author>
  </authors>
  <commentList>
    <comment ref="A5" authorId="0" shapeId="0" xr:uid="{00000000-0006-0000-0100-000001000000}">
      <text>
        <r>
          <rPr>
            <b/>
            <sz val="9"/>
            <rFont val="Tahoma"/>
            <family val="2"/>
          </rPr>
          <t>ME ESCRIBE CONDOMINIO BALCONES
LO ESTA CUBRIENDO PAOLA COLINA</t>
        </r>
      </text>
    </comment>
    <comment ref="A1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Palacio de los detalles:</t>
        </r>
        <r>
          <rPr>
            <sz val="9"/>
            <color indexed="81"/>
            <rFont val="Tahoma"/>
            <family val="2"/>
          </rPr>
          <t xml:space="preserve">
CLIENTE: MARIA TERESA DI DOMENICO STACCA
C.I.: 10.974.147
N° CONTRATO: K270000420767.1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Palacio de los detalles</author>
  </authors>
  <commentList>
    <comment ref="A5" authorId="0" shapeId="0" xr:uid="{00000000-0006-0000-0200-000001000000}">
      <text>
        <r>
          <rPr>
            <b/>
            <sz val="9"/>
            <rFont val="Tahoma"/>
            <family val="2"/>
          </rPr>
          <t>CONSULTO EL MONTO EN LA PAGINA 
USUARIO 24703210
CONTRASENA IGUAL
SE PAGA DESDE BANESCO PERSONAL POR PAGO MOVIL</t>
        </r>
      </text>
    </comment>
    <comment ref="A6" authorId="0" shapeId="0" xr:uid="{00000000-0006-0000-0200-000002000000}">
      <text>
        <r>
          <rPr>
            <b/>
            <sz val="9"/>
            <rFont val="Tahoma"/>
            <family val="2"/>
          </rPr>
          <t>CONSULTO EL MONTO EN LA PAGINA 
USUARIO 11764281
CONTRASENA IGUAL
SE PAGA DESDE BANESCO PERSONAL POR PAGO MOVIL</t>
        </r>
      </text>
    </comment>
    <comment ref="A7" authorId="0" shapeId="0" xr:uid="{00000000-0006-0000-0200-000003000000}">
      <text>
        <r>
          <rPr>
            <sz val="9"/>
            <color indexed="81"/>
            <rFont val="Tahoma"/>
            <family val="2"/>
          </rPr>
          <t>PRONTO PAGO: 7 PRIMEROS DIAS DEL MES 43$
DEL 08 AL 30 47,77$
DESPUES DEL MES 50$</t>
        </r>
      </text>
    </comment>
    <comment ref="A9" authorId="0" shapeId="0" xr:uid="{00000000-0006-0000-0200-000004000000}">
      <text>
        <r>
          <rPr>
            <b/>
            <sz val="9"/>
            <rFont val="Tahoma"/>
            <family val="2"/>
          </rPr>
          <t>MAITA</t>
        </r>
        <r>
          <rPr>
            <sz val="9"/>
            <rFont val="Tahoma"/>
            <family val="2"/>
          </rPr>
          <t xml:space="preserve">
</t>
        </r>
      </text>
    </comment>
    <comment ref="A10" authorId="0" shapeId="0" xr:uid="{00000000-0006-0000-0200-000005000000}">
      <text>
        <r>
          <rPr>
            <b/>
            <sz val="9"/>
            <rFont val="Tahoma"/>
            <family val="2"/>
          </rPr>
          <t xml:space="preserve">AGUSTIN. SE LO ENTREGO A PATRICIA
</t>
        </r>
      </text>
    </comment>
    <comment ref="A11" authorId="0" shapeId="0" xr:uid="{00000000-0006-0000-0200-000006000000}">
      <text>
        <r>
          <rPr>
            <b/>
            <sz val="9"/>
            <rFont val="Tahoma"/>
            <family val="2"/>
          </rPr>
          <t>MARBETH</t>
        </r>
      </text>
    </comment>
  </commentList>
</comments>
</file>

<file path=xl/sharedStrings.xml><?xml version="1.0" encoding="utf-8"?>
<sst xmlns="http://schemas.openxmlformats.org/spreadsheetml/2006/main" count="309" uniqueCount="183">
  <si>
    <t>SEDE</t>
  </si>
  <si>
    <t>SERVICIO</t>
  </si>
  <si>
    <t>FECHA DE PAGO</t>
  </si>
  <si>
    <t>EMPRESA O RESPONSIBLE</t>
  </si>
  <si>
    <t xml:space="preserve">COSTO ESTIMADO </t>
  </si>
  <si>
    <t>ENERO</t>
  </si>
  <si>
    <t>FEBRERO</t>
  </si>
  <si>
    <t>MARZO</t>
  </si>
  <si>
    <t>ABRIL</t>
  </si>
  <si>
    <t xml:space="preserve">MAYO 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</si>
  <si>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</si>
  <si>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</si>
  <si>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</si>
  <si>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</si>
  <si>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</si>
  <si>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</si>
  <si>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</si>
  <si>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INTERNET </t>
  </si>
  <si>
    <t xml:space="preserve">1-5 de Cada mes </t>
  </si>
  <si>
    <t>AIRTEK</t>
  </si>
  <si>
    <t>CONDOMINIO CENTRO COMERCIAL DORAL</t>
  </si>
  <si>
    <t>5 D/C MES</t>
  </si>
  <si>
    <t>CORPOELEC / PROTECNIA FALCON</t>
  </si>
  <si>
    <t>1 - 15 de cada mes</t>
  </si>
  <si>
    <t>DESCARGADORES MARITIMOS</t>
  </si>
  <si>
    <t xml:space="preserve">PUBLICIDAD REDES </t>
  </si>
  <si>
    <t>ZINLI</t>
  </si>
  <si>
    <t>PUBLICIDAD RADIAL</t>
  </si>
  <si>
    <t>EMIRO BRAVO</t>
  </si>
  <si>
    <t xml:space="preserve">CORPORACION DIGITEL </t>
  </si>
  <si>
    <t>RECARGA TELEFONO CHOFER</t>
  </si>
  <si>
    <t>REDES DORAL</t>
  </si>
  <si>
    <t xml:space="preserve">BESSER SOLUTIONS </t>
  </si>
  <si>
    <t>CONDOMINIO</t>
  </si>
  <si>
    <t>8-15 de cada mes</t>
  </si>
  <si>
    <t>CONDOMINIO CENTRO COMERCIAL VIRTUDES</t>
  </si>
  <si>
    <t>GERENCIA 5</t>
  </si>
  <si>
    <t>INVERSIONES MILLENIUM</t>
  </si>
  <si>
    <t xml:space="preserve">1- 5 de cada mes </t>
  </si>
  <si>
    <t>MOHAMED NAIMM</t>
  </si>
  <si>
    <t>31 -15 de cada mes</t>
  </si>
  <si>
    <t xml:space="preserve">AIRTEK </t>
  </si>
  <si>
    <t>FECHA</t>
  </si>
  <si>
    <t>EMPRESA</t>
  </si>
  <si>
    <t>CONDOMINIO TERRANOVA</t>
  </si>
  <si>
    <t>CONDOMINIO BALCONES</t>
  </si>
  <si>
    <t xml:space="preserve">1 de cada Mes </t>
  </si>
  <si>
    <t xml:space="preserve">3 de cada Mes </t>
  </si>
  <si>
    <t xml:space="preserve">CONDOMINIO </t>
  </si>
  <si>
    <t xml:space="preserve">1-5 de cada mes </t>
  </si>
  <si>
    <t>CONDOMINIO SAN ROMAN</t>
  </si>
  <si>
    <t>AYUDA</t>
  </si>
  <si>
    <t>SABADO</t>
  </si>
  <si>
    <t>MAITA (TIA)</t>
  </si>
  <si>
    <t>VIERNES</t>
  </si>
  <si>
    <t>LUNES</t>
  </si>
  <si>
    <t>HIT FM (LENIS)</t>
  </si>
  <si>
    <t>CONDOMINIO LOCAL PA-22</t>
  </si>
  <si>
    <t>CONDOMINIO TERRAZAS CLUB GOLF</t>
  </si>
  <si>
    <t>CONDOMINIO APTTO SALAMAR</t>
  </si>
  <si>
    <t>CONDOMINIO LOCAL SAMBIL L-26</t>
  </si>
  <si>
    <t>30 de cada mes</t>
  </si>
  <si>
    <t>BESSER SOLUTIONS MARIA FATIMA</t>
  </si>
  <si>
    <t>BESSER SOLUTIONS DIRECTIVO</t>
  </si>
  <si>
    <t xml:space="preserve">A.S. 20 PARAGUANÁ, C.A. </t>
  </si>
  <si>
    <t>GEEK ELECTRONICO (ADONIS)</t>
  </si>
  <si>
    <t>10 de cada mes</t>
  </si>
  <si>
    <t>TU MARCA CLOUD MAI SERVICES, C.A.</t>
  </si>
  <si>
    <t>RICARDO MAITA</t>
  </si>
  <si>
    <t>-</t>
  </si>
  <si>
    <t xml:space="preserve">1- 11 de cada mes </t>
  </si>
  <si>
    <t>COLEGIO CESAR</t>
  </si>
  <si>
    <t>TAREAS DIRIGIDAS CESAR</t>
  </si>
  <si>
    <t>INGLES CESAR</t>
  </si>
  <si>
    <t>NATACION CESAR</t>
  </si>
  <si>
    <t>ELECTRICIDAD</t>
  </si>
  <si>
    <t>CORPOELEC CASA PUERTA MARAVEN</t>
  </si>
  <si>
    <t xml:space="preserve">CORPOELEC </t>
  </si>
  <si>
    <t>AQUA CLUB</t>
  </si>
  <si>
    <t>LANGUAGE CENTER</t>
  </si>
  <si>
    <t>CENTRO CIVICO CARDON (U.E. COLEGIO ARAGUANEY)</t>
  </si>
  <si>
    <t xml:space="preserve">MARBETH JEREZ (HERMANA) </t>
  </si>
  <si>
    <t>HIDROFALCÓN</t>
  </si>
  <si>
    <t>5 de cada mes</t>
  </si>
  <si>
    <t>AVISO DE COBRANZAS</t>
  </si>
  <si>
    <t xml:space="preserve">AVISO DEL GESTOR </t>
  </si>
  <si>
    <t>LNACEH SPORT, C.A. PRINCIPAL
J409254852</t>
  </si>
  <si>
    <t>NUNES STORE, C.A. J501653879</t>
  </si>
  <si>
    <t>GRUPO JRZ-TECH ELECTRONICKS, C.A.
J501653895
(DEPOSITOS)</t>
  </si>
  <si>
    <t>INTERNET DEPOSITO DOÑA EMILIA</t>
  </si>
  <si>
    <t>RECARGA TELEFONICA DIGITEL</t>
  </si>
  <si>
    <t>AGUSTIN JEREZ (PAPA)</t>
  </si>
  <si>
    <t>POLIZA DE SEGUROS</t>
  </si>
  <si>
    <t>20 de cada mes</t>
  </si>
  <si>
    <t>MERCANTIL SEGUROS</t>
  </si>
  <si>
    <t>TOTAL GASTOS FIJOS GRUPO INMOBILIARIO Y DE TRANSPORTE JE NU &amp; ASOCIADOS, C.A.</t>
  </si>
  <si>
    <t>TOTAL GASTOS FIJOS DIRECTIVO</t>
  </si>
  <si>
    <t>COLEGIO NAHOMI</t>
  </si>
  <si>
    <t>U.E. NUESTRA SENORA DEL CARMEN</t>
  </si>
  <si>
    <t>1ERO D/C MES</t>
  </si>
  <si>
    <t>ABONO A NRO TLF PERSONAL BS.2000</t>
  </si>
  <si>
    <t>CONDOMINO</t>
  </si>
  <si>
    <t>CONDOMINIO MIRASOL</t>
  </si>
  <si>
    <t>17 DE CADA MES</t>
  </si>
  <si>
    <t>CONDOMINIO BALCONES APTTO T4</t>
  </si>
  <si>
    <t>POLICARIRUBANA</t>
  </si>
  <si>
    <t>TODOS LOS LUNES</t>
  </si>
  <si>
    <t>AVISO DE SUMITCA</t>
  </si>
  <si>
    <t>ALQUILER LOCAL HADI 3000</t>
  </si>
  <si>
    <t>GALPON
 BELLA VISTA
V32089692</t>
  </si>
  <si>
    <t>EDUDO VASQUEZ</t>
  </si>
  <si>
    <t>INVERSIONES
DORAL PARAGUANÁ, C.A. PRINCIPAL
J401722296</t>
  </si>
  <si>
    <t>EURONISSI, C.A.
J412919512
(TIENDA MOVISTAR)</t>
  </si>
  <si>
    <t>OFICINAS ADMINISTRACION</t>
  </si>
  <si>
    <t>TOTAL GASTOS FIJOS GRUPO PALACIO DE LOS DETALLES / NUNES STORE, C.A. / EURONISSI, C.A.</t>
  </si>
  <si>
    <t>MERCADO LIBRE</t>
  </si>
  <si>
    <t>IMPUESTO MENSUAL POR VENTAS</t>
  </si>
  <si>
    <t>GASTOS FIJOS GRUPO IMMOBILIARIO Y DE TRANSPORTE JE NU &amp; ASOCIADOS, C.A. 2026</t>
  </si>
  <si>
    <t>GASTOS FIJOS DIRECTIVO 2026</t>
  </si>
  <si>
    <t>GASTO FIJOS GRUPO PALACIO DE LOS DETALLES / NUNES STORE / EURONISSI 2026</t>
  </si>
  <si>
    <t>RECARGA TELEFONO TELEFONIA ZAMORA</t>
  </si>
  <si>
    <t>RECARGA TELEFONO SUPERVISOR ZAMORA</t>
  </si>
  <si>
    <t>LNACEH SPORT, C.A. SUCURSAL ZAMORA
 J409254852</t>
  </si>
  <si>
    <t>LNACEH SPORT, C.A. SUCURSAL BOLIVAR
 J409254852</t>
  </si>
  <si>
    <t>INVERSIONES
DORAL PARAGUANÁ, C.A. SUCURSAL SAMBIL
J401722296</t>
  </si>
  <si>
    <t>RECARGA TELEFONO REDES</t>
  </si>
  <si>
    <t>CONDOMINIO LOCAL H-12</t>
  </si>
  <si>
    <t>CONDOMINIO LOCAL H-6</t>
  </si>
  <si>
    <t>CONDOMINIO LOCAL L-114</t>
  </si>
  <si>
    <t>CONDOMINIO LOCAL L-11</t>
  </si>
  <si>
    <t>CONDOMINIO LOCAL M1-2</t>
  </si>
  <si>
    <t>ALQUILER LOCALES PB-09 Y PB-10</t>
  </si>
  <si>
    <t xml:space="preserve">CONDOMINIO LOCALES PB-09 Y PB-10 </t>
  </si>
  <si>
    <t>ALQUILER LOCAL H-6</t>
  </si>
  <si>
    <t>ALQUILER LOCAL SHANGHAI</t>
  </si>
  <si>
    <t>JESUS SANCHEZ</t>
  </si>
  <si>
    <t xml:space="preserve">ELECTRICIDAD Y RELLENO LOCALES PB-09 Y PB-10 </t>
  </si>
  <si>
    <t>ELECTRICIDAD Y RELLENO LOCAL HADI 3000</t>
  </si>
  <si>
    <t>ELECTRICIDAD Y RELLENO SHANGHAI</t>
  </si>
  <si>
    <t>ELECTRICIDAD Y RELLENO LOCAL PA-22</t>
  </si>
  <si>
    <t>SUMITCA</t>
  </si>
  <si>
    <t>INTERNET LOCALES PB-09 Y PB-10</t>
  </si>
  <si>
    <t>INTERNET LOCAL L-114</t>
  </si>
  <si>
    <t>INTERNET LOCAL H-6</t>
  </si>
  <si>
    <t>INTERNET LOCAL HADI 3000</t>
  </si>
  <si>
    <t>INTERNET LOCAL SHANGHAI</t>
  </si>
  <si>
    <t>INTERNET LOCAL M1-2</t>
  </si>
  <si>
    <t>INTERNET GALPON</t>
  </si>
  <si>
    <t>ASEO URBANO LOCALES PB-09 Y PB-10</t>
  </si>
  <si>
    <t>ASEO URBANO LOCAL L-114</t>
  </si>
  <si>
    <t>ASEO URBANO LOCAL H-6</t>
  </si>
  <si>
    <t>ASEO URBANO LOCAL HADI 3000</t>
  </si>
  <si>
    <t>ASEO URBANO LOCAL M1-2</t>
  </si>
  <si>
    <t>ASEO URBANO LOCAL SHANGHAI</t>
  </si>
  <si>
    <t>CUSTODIA LOCAL HADI 3000</t>
  </si>
  <si>
    <t>CUSTODIA LOCAL SHANGHAI</t>
  </si>
  <si>
    <t>AGUA LOCAL SHANGHAI</t>
  </si>
  <si>
    <t>RECARGA TELEFONOS CORPORATIVOS</t>
  </si>
  <si>
    <t>GREGORIO COLINA</t>
  </si>
  <si>
    <t>LUIS GARCIA</t>
  </si>
  <si>
    <t>NUNES STORE</t>
  </si>
  <si>
    <t>CARLOS GOMEZ</t>
  </si>
  <si>
    <t>AURILES LUGO</t>
  </si>
  <si>
    <t>12 de cada mes</t>
  </si>
  <si>
    <t>13 de cada mes</t>
  </si>
  <si>
    <t>14 de cada mes</t>
  </si>
  <si>
    <t>RECARGA TELEFONO CAJA ZAMORA</t>
  </si>
  <si>
    <t>INFORMATICA UNIX</t>
  </si>
  <si>
    <t>MONITOREO Y SOPORTE SERVIDOR</t>
  </si>
  <si>
    <t>15 DE CADA MES</t>
  </si>
  <si>
    <t>ASEO URBANO LOCAL L-11 / H-12</t>
  </si>
  <si>
    <t>RECARGA TELEFONO SUPERVISOR 2 ZAMORA</t>
  </si>
  <si>
    <t>CONDOMINIO LOCAL SAMBIL L-94</t>
  </si>
  <si>
    <t xml:space="preserve">ELECTRICIDAD Y RELLENO DEPOSITO </t>
  </si>
  <si>
    <t>RECARGA TELEFONO ENCARGADO SAMBIL</t>
  </si>
  <si>
    <t>RECARGA TELEFONO ENCARGADO NUNES</t>
  </si>
  <si>
    <t>INTERNET LOCAL L-11</t>
  </si>
  <si>
    <t>BESSER SOLUTIONS MIRASOL</t>
  </si>
  <si>
    <t>CONDOMINIO LOCAL PA-14</t>
  </si>
  <si>
    <t>1 DE CADA MES</t>
  </si>
  <si>
    <t>INTERNET LOCAL PA-22</t>
  </si>
  <si>
    <t>1 AL 5 DE CADA MES</t>
  </si>
  <si>
    <t xml:space="preserve">ELECTRICIDAD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</si>
</sst>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&quot;$&quot;#,##0.00"/>
    <numFmt numFmtId="166" formatCode="_-[$$-540A]* #,##0.00_ ;_-[$$-540A]* \-#,##0.00\ ;_-[$$-540A]* &quot;-&quot;??_ ;_-@_ "/>
    <numFmt numFmtId="167" formatCode="_([$$-540A]* #,##0.00_);_([$$-540A]* \(#,##0.00\);_([$$-540A]* &quot;-&quot;??_);_(@_)"/>
    <numFmt numFmtId="168" formatCode="_([$Bs.-46B]\ * #,##0.00_);_([$Bs.-46B]\ * \(#,##0.00\);_([$Bs.-46B]\ * &quot;-&quot;??_);_(@_)"/>
  </numFmts>
  <fonts count="2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Arial Black"/>
      <family val="2"/>
    </font>
    <font>
      <b/>
      <sz val="8"/>
      <color theme="0"/>
      <name val="Arial Black"/>
      <family val="2"/>
    </font>
    <font>
      <b/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0"/>
      <name val="Arial Black"/>
      <family val="2"/>
    </font>
    <font>
      <b/>
      <sz val="9"/>
      <color indexed="81"/>
      <name val="Tahoma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0">
    <xf numFmtId="0" fontId="0" fillId="0" borderId="0"/>
    <xf numFmtId="44" fontId="20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28" fillId="0" borderId="0" applyFont="0" applyFill="0" applyBorder="0" applyAlignment="0" applyProtection="0"/>
  </cellStyleXfs>
  <cellXfs count="98">
    <xf numFmtId="0" fontId="0" fillId="0" borderId="0" xfId="0"/>
    <xf numFmtId="0" fontId="12" fillId="0" borderId="0" xfId="0" applyFont="1"/>
    <xf numFmtId="0" fontId="12" fillId="0" borderId="0" xfId="0" applyFont="1" applyAlignment="1">
      <alignment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center" vertical="center"/>
    </xf>
    <xf numFmtId="165" fontId="12" fillId="0" borderId="3" xfId="0" applyNumberFormat="1" applyFont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5" fillId="3" borderId="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left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/>
    </xf>
    <xf numFmtId="16" fontId="12" fillId="2" borderId="4" xfId="0" applyNumberFormat="1" applyFont="1" applyFill="1" applyBorder="1" applyAlignment="1">
      <alignment horizontal="center" vertical="center"/>
    </xf>
    <xf numFmtId="44" fontId="12" fillId="0" borderId="4" xfId="1" applyFont="1" applyFill="1" applyBorder="1" applyAlignment="1">
      <alignment horizontal="center"/>
    </xf>
    <xf numFmtId="44" fontId="12" fillId="0" borderId="4" xfId="1" applyFont="1" applyFill="1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13" fillId="0" borderId="0" xfId="0" applyFont="1"/>
    <xf numFmtId="0" fontId="0" fillId="0" borderId="4" xfId="0" applyBorder="1"/>
    <xf numFmtId="0" fontId="11" fillId="0" borderId="4" xfId="0" applyFont="1" applyBorder="1"/>
    <xf numFmtId="0" fontId="12" fillId="2" borderId="11" xfId="0" applyFont="1" applyFill="1" applyBorder="1" applyAlignment="1">
      <alignment horizontal="left" vertical="center"/>
    </xf>
    <xf numFmtId="0" fontId="15" fillId="3" borderId="3" xfId="0" applyFont="1" applyFill="1" applyBorder="1" applyAlignment="1">
      <alignment horizontal="center" vertical="center"/>
    </xf>
    <xf numFmtId="0" fontId="10" fillId="0" borderId="4" xfId="0" applyFont="1" applyBorder="1"/>
    <xf numFmtId="2" fontId="12" fillId="0" borderId="0" xfId="0" applyNumberFormat="1" applyFont="1" applyAlignment="1">
      <alignment horizontal="right"/>
    </xf>
    <xf numFmtId="0" fontId="9" fillId="0" borderId="4" xfId="0" applyFont="1" applyBorder="1"/>
    <xf numFmtId="166" fontId="12" fillId="0" borderId="4" xfId="0" applyNumberFormat="1" applyFont="1" applyBorder="1" applyAlignment="1">
      <alignment horizontal="right"/>
    </xf>
    <xf numFmtId="166" fontId="12" fillId="0" borderId="4" xfId="0" applyNumberFormat="1" applyFont="1" applyBorder="1" applyAlignment="1">
      <alignment vertical="center"/>
    </xf>
    <xf numFmtId="166" fontId="12" fillId="0" borderId="4" xfId="0" applyNumberFormat="1" applyFont="1" applyBorder="1" applyAlignment="1">
      <alignment horizontal="center"/>
    </xf>
    <xf numFmtId="166" fontId="12" fillId="0" borderId="4" xfId="0" applyNumberFormat="1" applyFont="1" applyBorder="1" applyAlignment="1">
      <alignment horizontal="center" vertical="center"/>
    </xf>
    <xf numFmtId="166" fontId="12" fillId="0" borderId="4" xfId="0" applyNumberFormat="1" applyFont="1" applyBorder="1" applyAlignment="1">
      <alignment horizontal="right" vertical="center"/>
    </xf>
    <xf numFmtId="166" fontId="12" fillId="2" borderId="4" xfId="0" applyNumberFormat="1" applyFont="1" applyFill="1" applyBorder="1" applyAlignment="1">
      <alignment horizontal="center" vertical="center"/>
    </xf>
    <xf numFmtId="166" fontId="0" fillId="0" borderId="4" xfId="0" applyNumberFormat="1" applyBorder="1"/>
    <xf numFmtId="166" fontId="12" fillId="2" borderId="3" xfId="0" applyNumberFormat="1" applyFont="1" applyFill="1" applyBorder="1" applyAlignment="1">
      <alignment horizontal="center" vertical="center"/>
    </xf>
    <xf numFmtId="166" fontId="12" fillId="0" borderId="3" xfId="0" applyNumberFormat="1" applyFont="1" applyBorder="1" applyAlignment="1">
      <alignment horizontal="center" vertical="center"/>
    </xf>
    <xf numFmtId="0" fontId="8" fillId="0" borderId="4" xfId="0" applyFont="1" applyBorder="1"/>
    <xf numFmtId="0" fontId="0" fillId="0" borderId="4" xfId="0" applyBorder="1" applyAlignment="1">
      <alignment horizontal="center"/>
    </xf>
    <xf numFmtId="0" fontId="12" fillId="2" borderId="11" xfId="0" applyFont="1" applyFill="1" applyBorder="1" applyAlignment="1">
      <alignment horizontal="left"/>
    </xf>
    <xf numFmtId="166" fontId="12" fillId="0" borderId="10" xfId="0" applyNumberFormat="1" applyFont="1" applyBorder="1" applyAlignment="1">
      <alignment horizontal="right"/>
    </xf>
    <xf numFmtId="166" fontId="12" fillId="0" borderId="0" xfId="0" applyNumberFormat="1" applyFont="1"/>
    <xf numFmtId="0" fontId="11" fillId="0" borderId="4" xfId="0" applyFont="1" applyBorder="1" applyAlignment="1">
      <alignment horizontal="center"/>
    </xf>
    <xf numFmtId="166" fontId="25" fillId="0" borderId="4" xfId="0" applyNumberFormat="1" applyFont="1" applyBorder="1" applyAlignment="1">
      <alignment horizontal="center" vertical="center"/>
    </xf>
    <xf numFmtId="167" fontId="25" fillId="0" borderId="4" xfId="0" applyNumberFormat="1" applyFont="1" applyBorder="1" applyAlignment="1">
      <alignment horizontal="center" vertical="center"/>
    </xf>
    <xf numFmtId="166" fontId="25" fillId="0" borderId="4" xfId="0" applyNumberFormat="1" applyFont="1" applyBorder="1"/>
    <xf numFmtId="166" fontId="25" fillId="0" borderId="4" xfId="0" applyNumberFormat="1" applyFont="1" applyBorder="1" applyAlignment="1">
      <alignment vertical="center"/>
    </xf>
    <xf numFmtId="166" fontId="26" fillId="0" borderId="4" xfId="0" applyNumberFormat="1" applyFont="1" applyBorder="1" applyAlignment="1">
      <alignment vertical="center"/>
    </xf>
    <xf numFmtId="0" fontId="7" fillId="0" borderId="4" xfId="0" applyFont="1" applyBorder="1" applyAlignment="1">
      <alignment horizontal="center"/>
    </xf>
    <xf numFmtId="0" fontId="4" fillId="0" borderId="4" xfId="0" applyFont="1" applyBorder="1"/>
    <xf numFmtId="44" fontId="12" fillId="0" borderId="3" xfId="1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center"/>
    </xf>
    <xf numFmtId="166" fontId="12" fillId="0" borderId="0" xfId="0" applyNumberFormat="1" applyFont="1" applyAlignment="1">
      <alignment horizontal="right" vertical="center"/>
    </xf>
    <xf numFmtId="44" fontId="12" fillId="0" borderId="11" xfId="1" applyFont="1" applyFill="1" applyBorder="1" applyAlignment="1">
      <alignment horizontal="center"/>
    </xf>
    <xf numFmtId="44" fontId="12" fillId="0" borderId="11" xfId="1" applyFont="1" applyFill="1" applyBorder="1" applyAlignment="1">
      <alignment horizontal="center" vertical="center"/>
    </xf>
    <xf numFmtId="44" fontId="12" fillId="0" borderId="10" xfId="1" applyFont="1" applyFill="1" applyBorder="1" applyAlignment="1">
      <alignment horizontal="center" vertical="center"/>
    </xf>
    <xf numFmtId="166" fontId="12" fillId="0" borderId="10" xfId="0" applyNumberFormat="1" applyFont="1" applyBorder="1" applyAlignment="1">
      <alignment horizontal="right" vertical="center"/>
    </xf>
    <xf numFmtId="165" fontId="12" fillId="0" borderId="4" xfId="0" applyNumberFormat="1" applyFont="1" applyBorder="1" applyAlignment="1">
      <alignment horizontal="center"/>
    </xf>
    <xf numFmtId="44" fontId="12" fillId="0" borderId="11" xfId="0" applyNumberFormat="1" applyFont="1" applyBorder="1" applyAlignment="1">
      <alignment horizontal="center" vertical="center"/>
    </xf>
    <xf numFmtId="44" fontId="12" fillId="0" borderId="4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vertical="center"/>
    </xf>
    <xf numFmtId="0" fontId="12" fillId="0" borderId="4" xfId="0" applyFont="1" applyBorder="1" applyAlignment="1">
      <alignment horizontal="center"/>
    </xf>
    <xf numFmtId="166" fontId="12" fillId="0" borderId="15" xfId="0" applyNumberFormat="1" applyFont="1" applyBorder="1" applyAlignment="1">
      <alignment horizontal="center" vertical="center"/>
    </xf>
    <xf numFmtId="166" fontId="12" fillId="0" borderId="11" xfId="0" applyNumberFormat="1" applyFont="1" applyBorder="1" applyAlignment="1">
      <alignment horizontal="right" vertical="center"/>
    </xf>
    <xf numFmtId="0" fontId="12" fillId="0" borderId="11" xfId="0" applyFont="1" applyBorder="1" applyAlignment="1">
      <alignment horizontal="left"/>
    </xf>
    <xf numFmtId="166" fontId="12" fillId="4" borderId="4" xfId="0" applyNumberFormat="1" applyFont="1" applyFill="1" applyBorder="1" applyAlignment="1">
      <alignment horizontal="right"/>
    </xf>
    <xf numFmtId="0" fontId="16" fillId="3" borderId="22" xfId="0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166" fontId="12" fillId="4" borderId="4" xfId="0" applyNumberFormat="1" applyFont="1" applyFill="1" applyBorder="1" applyAlignment="1">
      <alignment horizontal="right" vertical="center"/>
    </xf>
    <xf numFmtId="166" fontId="0" fillId="0" borderId="0" xfId="0" applyNumberFormat="1" applyAlignment="1">
      <alignment horizontal="center"/>
    </xf>
    <xf numFmtId="168" fontId="3" fillId="0" borderId="4" xfId="9" applyNumberFormat="1" applyFont="1" applyFill="1" applyBorder="1" applyAlignment="1">
      <alignment vertical="center"/>
    </xf>
    <xf numFmtId="168" fontId="2" fillId="0" borderId="4" xfId="9" applyNumberFormat="1" applyFont="1" applyFill="1" applyBorder="1" applyAlignment="1">
      <alignment vertical="center"/>
    </xf>
    <xf numFmtId="0" fontId="1" fillId="0" borderId="4" xfId="0" applyFont="1" applyBorder="1"/>
    <xf numFmtId="166" fontId="12" fillId="0" borderId="11" xfId="0" applyNumberFormat="1" applyFont="1" applyBorder="1" applyAlignment="1">
      <alignment horizontal="right"/>
    </xf>
    <xf numFmtId="0" fontId="16" fillId="3" borderId="18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 wrapText="1"/>
    </xf>
    <xf numFmtId="0" fontId="24" fillId="3" borderId="11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/>
    </xf>
    <xf numFmtId="0" fontId="22" fillId="3" borderId="13" xfId="0" applyFont="1" applyFill="1" applyBorder="1" applyAlignment="1">
      <alignment horizontal="center" vertical="center"/>
    </xf>
    <xf numFmtId="0" fontId="22" fillId="3" borderId="14" xfId="0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/>
    </xf>
    <xf numFmtId="0" fontId="22" fillId="3" borderId="16" xfId="0" applyFont="1" applyFill="1" applyBorder="1" applyAlignment="1">
      <alignment horizontal="center" vertical="center"/>
    </xf>
    <xf numFmtId="0" fontId="22" fillId="3" borderId="17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 wrapText="1"/>
    </xf>
  </cellXfs>
  <cellStyles count="10">
    <cellStyle name="Millares" xfId="9" builtinId="3"/>
    <cellStyle name="Millares 2" xfId="3" xr:uid="{00000000-0005-0000-0000-000001000000}"/>
    <cellStyle name="Millares 3" xfId="7" xr:uid="{00000000-0005-0000-0000-000002000000}"/>
    <cellStyle name="Moneda" xfId="1" builtinId="4"/>
    <cellStyle name="Moneda 2" xfId="4" xr:uid="{00000000-0005-0000-0000-000004000000}"/>
    <cellStyle name="Normal" xfId="0" builtinId="0"/>
    <cellStyle name="Normal 2" xfId="2" xr:uid="{00000000-0005-0000-0000-000006000000}"/>
    <cellStyle name="Normal 3" xfId="6" xr:uid="{00000000-0005-0000-0000-000007000000}"/>
    <cellStyle name="Porcentaje 2" xfId="5" xr:uid="{00000000-0005-0000-0000-000008000000}"/>
    <cellStyle name="Porcentaje 3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Y87"/>
  <sheetViews>
    <sheetView showGridLines="0" zoomScale="80" zoomScaleNormal="8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56" sqref="B56:C56"/>
    </sheetView>
  </sheetViews>
  <sheetFormatPr baseColWidth="10" defaultColWidth="11.42578125" defaultRowHeight="15"/>
  <cols>
    <col min="1" max="1" width="19.140625" customWidth="1"/>
    <col min="2" max="2" width="41.85546875" bestFit="1" customWidth="1"/>
    <col min="3" max="3" width="21.85546875" style="10" customWidth="1"/>
    <col min="4" max="4" width="41.42578125" style="11" customWidth="1"/>
    <col min="5" max="5" width="16.42578125" style="11" customWidth="1"/>
    <col min="6" max="6" width="11.7109375" style="11" bestFit="1" customWidth="1"/>
    <col min="7" max="7" width="14" style="11" bestFit="1" customWidth="1"/>
    <col min="8" max="8" width="12" style="11" bestFit="1" customWidth="1"/>
    <col min="9" max="9" width="13.28515625" style="11" bestFit="1" customWidth="1"/>
    <col min="10" max="10" width="11.42578125" style="11" bestFit="1" customWidth="1"/>
    <col min="11" max="11" width="11.28515625" style="11" bestFit="1" customWidth="1"/>
    <col min="12" max="12" width="12" style="11" customWidth="1"/>
    <col min="13" max="13" width="11.7109375" style="11" customWidth="1"/>
    <col min="14" max="14" width="12.85546875" style="11" customWidth="1"/>
    <col min="15" max="15" width="14.28515625" style="11" bestFit="1" customWidth="1"/>
    <col min="16" max="16" width="12" style="11" customWidth="1"/>
    <col min="17" max="17" width="11.140625" style="11" customWidth="1"/>
    <col min="18" max="18" width="12.7109375" style="11" customWidth="1"/>
    <col min="21" max="21" width="69.7109375" customWidth="1"/>
  </cols>
  <sheetData>
    <row r="1" spans="1:17" s="1" customFormat="1">
      <c r="A1" s="84" t="s">
        <v>119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1:17" s="1" customFormat="1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</row>
    <row r="3" spans="1:17" s="2" customFormat="1" ht="25.5">
      <c r="A3" s="12" t="s">
        <v>0</v>
      </c>
      <c r="B3" s="12" t="s">
        <v>1</v>
      </c>
      <c r="C3" s="12" t="s">
        <v>2</v>
      </c>
      <c r="D3" s="12" t="s">
        <v>3</v>
      </c>
      <c r="E3" s="13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</row>
    <row r="4" spans="1:17" s="1" customFormat="1" ht="15" customHeight="1">
      <c r="A4" s="85" t="s">
        <v>111</v>
      </c>
      <c r="B4" s="14" t="s">
        <v>141</v>
      </c>
      <c r="C4" s="15" t="s">
        <v>18</v>
      </c>
      <c r="D4" s="14" t="s">
        <v>19</v>
      </c>
      <c r="E4" s="29">
        <v>30</v>
      </c>
      <c r="F4" s="30">
        <f>(15234/304.68)/2</f>
        <v>25</v>
      </c>
      <c r="G4" s="29">
        <f>(22215/370.25)/2</f>
        <v>30</v>
      </c>
      <c r="H4" s="29">
        <f>(25199.4/419.99)/2</f>
        <v>30</v>
      </c>
      <c r="I4" s="29">
        <f>(28435.2/473.92)/2</f>
        <v>30</v>
      </c>
      <c r="J4" s="33">
        <f>(29373/489.55)/2</f>
        <v>30</v>
      </c>
      <c r="K4" s="33">
        <f>(33478.2/557.97)/2</f>
        <v>29.999999999999996</v>
      </c>
      <c r="L4" s="18">
        <f>19191/639.7</f>
        <v>29.999999999999996</v>
      </c>
      <c r="M4" s="33"/>
      <c r="N4" s="33"/>
      <c r="O4" s="33"/>
      <c r="P4" s="18"/>
      <c r="Q4" s="18"/>
    </row>
    <row r="5" spans="1:17" s="1" customFormat="1">
      <c r="A5" s="82"/>
      <c r="B5" s="14" t="s">
        <v>132</v>
      </c>
      <c r="C5" s="7">
        <v>8</v>
      </c>
      <c r="D5" s="14" t="s">
        <v>20</v>
      </c>
      <c r="E5" s="31">
        <v>380</v>
      </c>
      <c r="F5" s="41">
        <f>(53049.12+53049.12)/330.38</f>
        <v>321.14002058235974</v>
      </c>
      <c r="G5" s="41">
        <f>(62207.47+62207.47)/378.46</f>
        <v>328.73999894308514</v>
      </c>
      <c r="H5" s="71">
        <f>(85735.06*2)/473.92</f>
        <v>361.81237339635379</v>
      </c>
      <c r="I5" s="74">
        <f>(86445.6411*2)/504.91</f>
        <v>342.41999999999996</v>
      </c>
      <c r="J5" s="33"/>
      <c r="K5" s="33"/>
      <c r="L5" s="33"/>
      <c r="M5" s="33"/>
      <c r="N5" s="56"/>
      <c r="O5" s="19"/>
      <c r="P5" s="54"/>
      <c r="Q5" s="18"/>
    </row>
    <row r="6" spans="1:17" s="1" customFormat="1">
      <c r="A6" s="82"/>
      <c r="B6" s="14" t="s">
        <v>136</v>
      </c>
      <c r="C6" s="7" t="s">
        <v>21</v>
      </c>
      <c r="D6" s="14" t="s">
        <v>22</v>
      </c>
      <c r="E6" s="31">
        <v>100</v>
      </c>
      <c r="F6" s="30">
        <f>(17789.76+29361.08+7829.05+18460.79)/325.39</f>
        <v>225.70048249792555</v>
      </c>
      <c r="G6" s="29">
        <f>(30509.67+35788.68+11490.03+22502.15)/378.46</f>
        <v>264.99638006658563</v>
      </c>
      <c r="H6" s="41">
        <f>(33128.11+40641.82+11743.35+25553.57)/433.17</f>
        <v>256.40476025578874</v>
      </c>
      <c r="I6" s="72">
        <f>(25651.19+44804.94+8046.69+28171.13)/477.15</f>
        <v>223.56481190401345</v>
      </c>
      <c r="J6" s="64">
        <f>(30720.67+48164.43+10004.45+30283.41)/499.86</f>
        <v>238.41267554915376</v>
      </c>
      <c r="K6" s="33"/>
      <c r="L6" s="33"/>
      <c r="M6" s="33"/>
      <c r="N6" s="19"/>
      <c r="O6" s="19"/>
      <c r="P6" s="33"/>
      <c r="Q6" s="19"/>
    </row>
    <row r="7" spans="1:17" s="1" customFormat="1">
      <c r="A7" s="82"/>
      <c r="B7" s="14" t="s">
        <v>148</v>
      </c>
      <c r="C7" s="7" t="s">
        <v>107</v>
      </c>
      <c r="D7" s="14" t="s">
        <v>140</v>
      </c>
      <c r="E7" s="31">
        <v>40</v>
      </c>
      <c r="F7" s="30">
        <f>5696.82/330.38</f>
        <v>17.243235062655124</v>
      </c>
      <c r="G7" s="29">
        <f>9636.44/385.27</f>
        <v>25.012173281075611</v>
      </c>
      <c r="H7" s="29">
        <f>17486.54/438.21</f>
        <v>39.904475023390617</v>
      </c>
      <c r="I7" s="29">
        <f>19322.2/477.15</f>
        <v>40.495022529602856</v>
      </c>
      <c r="J7" s="33">
        <f>20091.32/490.04</f>
        <v>40.999346992082273</v>
      </c>
      <c r="K7" s="33"/>
      <c r="L7" s="33"/>
      <c r="M7" s="33"/>
      <c r="N7" s="19"/>
      <c r="O7" s="33"/>
      <c r="P7" s="33"/>
      <c r="Q7" s="19"/>
    </row>
    <row r="8" spans="1:17" s="1" customFormat="1">
      <c r="A8" s="82"/>
      <c r="B8" s="14" t="s">
        <v>131</v>
      </c>
      <c r="C8" s="7" t="s">
        <v>23</v>
      </c>
      <c r="D8" s="14" t="s">
        <v>24</v>
      </c>
      <c r="E8" s="31">
        <v>1100</v>
      </c>
      <c r="F8" s="30">
        <f>556.1+200+200+80+100-36.1</f>
        <v>1100</v>
      </c>
      <c r="G8" s="30">
        <f>36.1+100+1040+220-96.1</f>
        <v>1300</v>
      </c>
      <c r="H8" s="29">
        <f>96.1+500+465+(51049/510.49)-61.1</f>
        <v>1100</v>
      </c>
      <c r="I8" s="29">
        <f>61.1+1000+(21977.72/564.98)</f>
        <v>1099.9999964600515</v>
      </c>
      <c r="J8" s="69"/>
      <c r="K8" s="33"/>
      <c r="L8" s="57"/>
      <c r="M8" s="33"/>
      <c r="N8" s="33"/>
      <c r="O8" s="33"/>
      <c r="P8" s="33"/>
      <c r="Q8" s="19"/>
    </row>
    <row r="9" spans="1:17" s="1" customFormat="1">
      <c r="A9" s="82"/>
      <c r="B9" s="14" t="s">
        <v>25</v>
      </c>
      <c r="C9" s="15" t="s">
        <v>18</v>
      </c>
      <c r="D9" s="14" t="s">
        <v>26</v>
      </c>
      <c r="E9" s="31">
        <v>100</v>
      </c>
      <c r="F9" s="30">
        <v>250</v>
      </c>
      <c r="G9" s="31">
        <v>0</v>
      </c>
      <c r="H9" s="29">
        <v>0</v>
      </c>
      <c r="I9" s="29">
        <v>0</v>
      </c>
      <c r="J9" s="33">
        <v>200</v>
      </c>
      <c r="K9" s="33"/>
      <c r="L9" s="57"/>
      <c r="M9" s="33"/>
      <c r="N9" s="33"/>
      <c r="O9" s="33"/>
      <c r="P9" s="33"/>
      <c r="Q9" s="19"/>
    </row>
    <row r="10" spans="1:17" s="1" customFormat="1">
      <c r="A10" s="82"/>
      <c r="B10" s="14" t="s">
        <v>25</v>
      </c>
      <c r="C10" s="7">
        <v>30</v>
      </c>
      <c r="D10" s="14" t="s">
        <v>65</v>
      </c>
      <c r="E10" s="31">
        <v>30</v>
      </c>
      <c r="F10" s="30">
        <v>30</v>
      </c>
      <c r="G10" s="31">
        <v>30</v>
      </c>
      <c r="H10" s="66"/>
      <c r="I10" s="66"/>
      <c r="J10" s="69"/>
      <c r="K10" s="33"/>
      <c r="L10" s="57"/>
      <c r="M10" s="33"/>
      <c r="N10" s="33"/>
      <c r="O10" s="33"/>
      <c r="P10" s="58"/>
      <c r="Q10" s="18"/>
    </row>
    <row r="11" spans="1:17" s="1" customFormat="1">
      <c r="A11" s="82"/>
      <c r="B11" s="14" t="s">
        <v>27</v>
      </c>
      <c r="C11" s="7">
        <v>24</v>
      </c>
      <c r="D11" s="14" t="s">
        <v>110</v>
      </c>
      <c r="E11" s="31">
        <v>160</v>
      </c>
      <c r="F11" s="30">
        <v>160</v>
      </c>
      <c r="G11" s="31">
        <v>160</v>
      </c>
      <c r="H11" s="29">
        <v>160</v>
      </c>
      <c r="I11" s="29">
        <v>160</v>
      </c>
      <c r="J11" s="33">
        <v>160</v>
      </c>
      <c r="K11" s="33"/>
      <c r="L11" s="57"/>
      <c r="M11" s="33"/>
      <c r="N11" s="33"/>
      <c r="O11" s="33"/>
      <c r="P11" s="33"/>
      <c r="Q11" s="33"/>
    </row>
    <row r="12" spans="1:17" s="1" customFormat="1">
      <c r="A12" s="82"/>
      <c r="B12" s="14" t="s">
        <v>27</v>
      </c>
      <c r="C12" s="7">
        <v>15</v>
      </c>
      <c r="D12" s="14" t="s">
        <v>28</v>
      </c>
      <c r="E12" s="31">
        <v>60</v>
      </c>
      <c r="F12" s="30">
        <f>19845/330.38</f>
        <v>60.067195350808163</v>
      </c>
      <c r="G12" s="29">
        <f>23400/393.22</f>
        <v>59.508671990234468</v>
      </c>
      <c r="H12" s="29">
        <v>0</v>
      </c>
      <c r="I12" s="29">
        <v>0</v>
      </c>
      <c r="J12" s="33">
        <v>0</v>
      </c>
      <c r="K12" s="33">
        <v>0</v>
      </c>
      <c r="L12" s="57">
        <v>0</v>
      </c>
      <c r="M12" s="33">
        <v>0</v>
      </c>
      <c r="N12" s="59">
        <v>0</v>
      </c>
      <c r="O12" s="60">
        <v>0</v>
      </c>
      <c r="P12" s="60">
        <v>0</v>
      </c>
      <c r="Q12" s="60">
        <v>0</v>
      </c>
    </row>
    <row r="13" spans="1:17" s="1" customFormat="1">
      <c r="A13" s="82"/>
      <c r="B13" s="14" t="s">
        <v>27</v>
      </c>
      <c r="C13" s="7">
        <v>1</v>
      </c>
      <c r="D13" s="14" t="s">
        <v>56</v>
      </c>
      <c r="E13" s="31">
        <v>80</v>
      </c>
      <c r="F13" s="30">
        <v>80</v>
      </c>
      <c r="G13" s="29">
        <v>80</v>
      </c>
      <c r="H13" s="29">
        <v>80</v>
      </c>
      <c r="I13" s="66"/>
      <c r="J13" s="69"/>
      <c r="K13" s="33"/>
      <c r="L13" s="57"/>
      <c r="M13" s="33"/>
      <c r="N13" s="54"/>
      <c r="O13" s="18"/>
      <c r="P13" s="18"/>
      <c r="Q13" s="18"/>
    </row>
    <row r="14" spans="1:17" s="1" customFormat="1">
      <c r="A14" s="82"/>
      <c r="B14" s="14" t="s">
        <v>157</v>
      </c>
      <c r="C14" s="7">
        <v>1</v>
      </c>
      <c r="D14" s="14" t="s">
        <v>29</v>
      </c>
      <c r="E14" s="31">
        <v>200</v>
      </c>
      <c r="F14" s="30">
        <f>79617.24/378.46</f>
        <v>210.37161126671248</v>
      </c>
      <c r="G14" s="31">
        <f>92593.67/421.88</f>
        <v>219.47869062292594</v>
      </c>
      <c r="H14" s="29">
        <f>92593.67/421.88</f>
        <v>219.47869062292594</v>
      </c>
      <c r="I14" s="29">
        <f>133632.16/490.04</f>
        <v>272.69643294424947</v>
      </c>
      <c r="J14" s="33"/>
      <c r="K14" s="33"/>
      <c r="L14" s="57"/>
      <c r="M14" s="33"/>
      <c r="N14" s="33"/>
      <c r="O14" s="33"/>
      <c r="P14" s="33"/>
      <c r="Q14" s="18"/>
    </row>
    <row r="15" spans="1:17" s="1" customFormat="1">
      <c r="A15" s="82"/>
      <c r="B15" s="16" t="s">
        <v>30</v>
      </c>
      <c r="C15" s="7" t="s">
        <v>169</v>
      </c>
      <c r="D15" s="14" t="s">
        <v>159</v>
      </c>
      <c r="E15" s="31">
        <v>10</v>
      </c>
      <c r="F15" s="30">
        <f>4000/363.66</f>
        <v>10.999285046471979</v>
      </c>
      <c r="G15" s="29">
        <f>4900/417.36</f>
        <v>11.740463868123442</v>
      </c>
      <c r="H15" s="29">
        <f>5000/451.51</f>
        <v>11.073951850457355</v>
      </c>
      <c r="I15" s="29">
        <f>6000/478.58</f>
        <v>12.537088887960216</v>
      </c>
      <c r="J15" s="33">
        <f>6000/515.18</f>
        <v>11.646414845296791</v>
      </c>
      <c r="K15" s="33"/>
      <c r="L15" s="57"/>
      <c r="M15" s="33"/>
      <c r="N15" s="33"/>
      <c r="O15" s="33"/>
      <c r="P15" s="33"/>
      <c r="Q15" s="18"/>
    </row>
    <row r="16" spans="1:17" s="1" customFormat="1">
      <c r="A16" s="82"/>
      <c r="B16" s="16" t="s">
        <v>30</v>
      </c>
      <c r="C16" s="7">
        <v>17</v>
      </c>
      <c r="D16" s="14" t="s">
        <v>158</v>
      </c>
      <c r="E16" s="31">
        <v>13</v>
      </c>
      <c r="F16" s="30">
        <f>3800/344.51</f>
        <v>11.030158776232911</v>
      </c>
      <c r="G16" s="30">
        <f>4800/396.37</f>
        <v>12.109897318162323</v>
      </c>
      <c r="H16" s="29">
        <f>5400/448.37</f>
        <v>12.043624684970002</v>
      </c>
      <c r="I16" s="29">
        <f>(3000+3000)/480.26</f>
        <v>12.493232832215883</v>
      </c>
      <c r="J16" s="33">
        <f>(5400+600)/517.96</f>
        <v>11.583906093134605</v>
      </c>
      <c r="K16" s="33"/>
      <c r="L16" s="57"/>
      <c r="M16" s="33"/>
      <c r="N16" s="33"/>
      <c r="O16" s="33"/>
      <c r="P16" s="18"/>
      <c r="Q16" s="18"/>
    </row>
    <row r="17" spans="1:17" s="1" customFormat="1">
      <c r="A17" s="82"/>
      <c r="B17" s="16" t="s">
        <v>125</v>
      </c>
      <c r="C17" s="17" t="s">
        <v>66</v>
      </c>
      <c r="D17" s="14" t="s">
        <v>31</v>
      </c>
      <c r="E17" s="31">
        <v>5</v>
      </c>
      <c r="F17" s="30">
        <v>0</v>
      </c>
      <c r="G17" s="31">
        <f>900/396.37</f>
        <v>2.2706057471554355</v>
      </c>
      <c r="H17" s="29">
        <v>0</v>
      </c>
      <c r="I17" s="29">
        <v>0</v>
      </c>
      <c r="J17" s="69"/>
      <c r="K17" s="33"/>
      <c r="L17" s="57"/>
      <c r="M17" s="33"/>
      <c r="N17" s="33"/>
      <c r="O17" s="33"/>
      <c r="P17" s="33"/>
      <c r="Q17" s="18"/>
    </row>
    <row r="18" spans="1:17" s="1" customFormat="1">
      <c r="A18" s="82"/>
      <c r="B18" s="16" t="s">
        <v>115</v>
      </c>
      <c r="C18" s="17" t="s">
        <v>83</v>
      </c>
      <c r="D18" s="14" t="s">
        <v>116</v>
      </c>
      <c r="E18" s="31">
        <v>40</v>
      </c>
      <c r="F18" s="30">
        <f>8183.47/321.03</f>
        <v>25.491293648568671</v>
      </c>
      <c r="G18" s="30">
        <f>5863.3/396.37</f>
        <v>14.79249186366274</v>
      </c>
      <c r="H18" s="29">
        <v>0</v>
      </c>
      <c r="I18" s="29">
        <f>6161/487.12</f>
        <v>12.647807521760551</v>
      </c>
      <c r="J18" s="69"/>
      <c r="K18" s="33"/>
      <c r="L18" s="57"/>
      <c r="M18" s="33"/>
      <c r="N18" s="33"/>
      <c r="O18" s="33"/>
      <c r="P18" s="58"/>
      <c r="Q18" s="18"/>
    </row>
    <row r="19" spans="1:17" s="1" customFormat="1">
      <c r="A19" s="82"/>
      <c r="B19" s="16" t="s">
        <v>168</v>
      </c>
      <c r="C19" s="17" t="s">
        <v>181</v>
      </c>
      <c r="D19" s="14" t="s">
        <v>167</v>
      </c>
      <c r="E19" s="31">
        <v>50</v>
      </c>
      <c r="F19" s="30">
        <f>35356.5/471.42</f>
        <v>75</v>
      </c>
      <c r="G19" s="30">
        <f>24574.5/491.49</f>
        <v>50</v>
      </c>
      <c r="H19" s="29">
        <f>30208/604.16</f>
        <v>50</v>
      </c>
      <c r="I19" s="29">
        <f>26184/523.68</f>
        <v>50.000000000000007</v>
      </c>
      <c r="J19" s="33"/>
      <c r="K19" s="33"/>
      <c r="L19" s="57"/>
      <c r="M19" s="33"/>
      <c r="N19" s="33"/>
      <c r="O19" s="33"/>
      <c r="P19" s="58"/>
      <c r="Q19" s="18"/>
    </row>
    <row r="20" spans="1:17" s="1" customFormat="1" ht="15.75" thickBot="1">
      <c r="A20" s="83"/>
      <c r="B20" s="16" t="s">
        <v>67</v>
      </c>
      <c r="C20" s="17" t="s">
        <v>69</v>
      </c>
      <c r="D20" s="14" t="s">
        <v>68</v>
      </c>
      <c r="E20" s="31">
        <v>55</v>
      </c>
      <c r="F20" s="30">
        <v>55</v>
      </c>
      <c r="G20" s="31">
        <v>55</v>
      </c>
      <c r="H20" s="29">
        <v>55</v>
      </c>
      <c r="I20" s="29">
        <v>50</v>
      </c>
      <c r="J20" s="69"/>
      <c r="K20" s="33"/>
      <c r="L20" s="57"/>
      <c r="M20" s="33"/>
      <c r="N20" s="33"/>
      <c r="O20" s="31"/>
      <c r="P20" s="58"/>
      <c r="Q20" s="18"/>
    </row>
    <row r="21" spans="1:17" s="1" customFormat="1">
      <c r="A21" s="81" t="s">
        <v>124</v>
      </c>
      <c r="B21" s="6" t="s">
        <v>128</v>
      </c>
      <c r="C21" s="7" t="s">
        <v>40</v>
      </c>
      <c r="D21" s="6" t="s">
        <v>64</v>
      </c>
      <c r="E21" s="31">
        <v>200</v>
      </c>
      <c r="F21" s="30">
        <f>76594.73/398.75</f>
        <v>192.08709717868336</v>
      </c>
      <c r="G21" s="31">
        <f>89105.1/433.17</f>
        <v>205.70468869035253</v>
      </c>
      <c r="H21" s="29">
        <f>88836.07/484.74</f>
        <v>183.26540000825185</v>
      </c>
      <c r="I21" s="29">
        <f>101218.1938/520.91</f>
        <v>194.31032961548061</v>
      </c>
      <c r="J21" s="33"/>
      <c r="K21" s="33"/>
      <c r="L21" s="57"/>
      <c r="M21" s="33"/>
      <c r="N21" s="33"/>
      <c r="O21" s="31"/>
      <c r="P21" s="58"/>
      <c r="Q21" s="18"/>
    </row>
    <row r="22" spans="1:17" s="1" customFormat="1">
      <c r="A22" s="82"/>
      <c r="B22" s="14" t="s">
        <v>149</v>
      </c>
      <c r="C22" s="7" t="s">
        <v>107</v>
      </c>
      <c r="D22" s="14" t="s">
        <v>140</v>
      </c>
      <c r="E22" s="31">
        <v>20</v>
      </c>
      <c r="F22" s="30">
        <v>0</v>
      </c>
      <c r="G22" s="31">
        <v>0</v>
      </c>
      <c r="H22" s="29">
        <f>10613.75/438.21</f>
        <v>24.220693274913856</v>
      </c>
      <c r="I22" s="29">
        <f>11689.88/477.15</f>
        <v>24.499381745782248</v>
      </c>
      <c r="J22" s="33">
        <f>12054.79/490.04</f>
        <v>24.599604113949884</v>
      </c>
      <c r="K22" s="33"/>
      <c r="L22" s="57"/>
      <c r="M22" s="33"/>
      <c r="N22" s="33"/>
      <c r="O22" s="31"/>
      <c r="P22" s="58"/>
      <c r="Q22" s="18"/>
    </row>
    <row r="23" spans="1:17" s="1" customFormat="1">
      <c r="A23" s="82"/>
      <c r="B23" s="16" t="s">
        <v>174</v>
      </c>
      <c r="C23" s="7" t="s">
        <v>169</v>
      </c>
      <c r="D23" s="14" t="s">
        <v>162</v>
      </c>
      <c r="E23" s="31">
        <v>5</v>
      </c>
      <c r="F23" s="30">
        <v>0</v>
      </c>
      <c r="G23" s="31">
        <v>0</v>
      </c>
      <c r="H23" s="29">
        <f>(3000/427.93)+(4000/431.01)</f>
        <v>16.291019504188679</v>
      </c>
      <c r="I23" s="29">
        <f>2400/481.22</f>
        <v>4.9873238851253063</v>
      </c>
      <c r="J23" s="33">
        <f>2400/523.68</f>
        <v>4.5829514207149407</v>
      </c>
      <c r="K23" s="33"/>
      <c r="L23" s="57"/>
      <c r="M23" s="33"/>
      <c r="N23" s="33"/>
      <c r="O23" s="31"/>
      <c r="P23" s="58"/>
      <c r="Q23" s="18"/>
    </row>
    <row r="24" spans="1:17" s="1" customFormat="1">
      <c r="A24" s="82"/>
      <c r="B24" s="16" t="s">
        <v>168</v>
      </c>
      <c r="C24" s="17" t="s">
        <v>181</v>
      </c>
      <c r="D24" s="14" t="s">
        <v>167</v>
      </c>
      <c r="E24" s="31">
        <v>50</v>
      </c>
      <c r="F24" s="30">
        <v>0</v>
      </c>
      <c r="G24" s="30">
        <f>24574.5/491.49</f>
        <v>50</v>
      </c>
      <c r="H24" s="29">
        <f>30208/604.16</f>
        <v>50</v>
      </c>
      <c r="I24" s="29">
        <f>26184/523.68</f>
        <v>50.000000000000007</v>
      </c>
      <c r="J24" s="33"/>
      <c r="K24" s="33"/>
      <c r="L24" s="57"/>
      <c r="M24" s="33"/>
      <c r="N24" s="33"/>
      <c r="O24" s="31"/>
      <c r="P24" s="58"/>
      <c r="Q24" s="18"/>
    </row>
    <row r="25" spans="1:17" s="1" customFormat="1" ht="15.75" thickBot="1">
      <c r="A25" s="83"/>
      <c r="B25" s="9" t="s">
        <v>142</v>
      </c>
      <c r="C25" s="15" t="s">
        <v>18</v>
      </c>
      <c r="D25" s="6" t="s">
        <v>32</v>
      </c>
      <c r="E25" s="32">
        <v>49.88</v>
      </c>
      <c r="F25" s="30">
        <f>13743.81/330.38</f>
        <v>41.600006053635205</v>
      </c>
      <c r="G25" s="31">
        <f>17453.7688/390.29</f>
        <v>44.72</v>
      </c>
      <c r="H25" s="29">
        <f>19137.03/427.95</f>
        <v>44.717910970907816</v>
      </c>
      <c r="I25" s="29">
        <f>21242.4472/475.01</f>
        <v>44.72</v>
      </c>
      <c r="J25" s="33">
        <f>22380.57/500.46</f>
        <v>44.719997602205972</v>
      </c>
      <c r="K25" s="69"/>
      <c r="L25" s="57"/>
      <c r="M25" s="33"/>
      <c r="N25" s="33"/>
      <c r="O25" s="33"/>
      <c r="P25" s="33"/>
      <c r="Q25" s="18"/>
    </row>
    <row r="26" spans="1:17" s="1" customFormat="1" ht="15" customHeight="1">
      <c r="A26" s="81" t="s">
        <v>86</v>
      </c>
      <c r="B26" s="6" t="s">
        <v>143</v>
      </c>
      <c r="C26" s="7">
        <v>15</v>
      </c>
      <c r="D26" s="6" t="s">
        <v>32</v>
      </c>
      <c r="E26" s="32">
        <v>78.88</v>
      </c>
      <c r="F26" s="30">
        <f>22333.69/330.38</f>
        <v>67.600006053635198</v>
      </c>
      <c r="G26" s="30">
        <f>27601.3087999999/390.29</f>
        <v>70.719999999999743</v>
      </c>
      <c r="H26" s="29">
        <f>30263.21/427.93</f>
        <v>70.720000934732312</v>
      </c>
      <c r="I26" s="29">
        <f>33592.7072/475.01</f>
        <v>70.72</v>
      </c>
      <c r="J26" s="33">
        <f>35392.53/500.46</f>
        <v>70.719997602205964</v>
      </c>
      <c r="K26" s="33">
        <f>39507.27/557.97</f>
        <v>70.805365879886011</v>
      </c>
      <c r="L26" s="57"/>
      <c r="M26" s="33"/>
      <c r="N26" s="33"/>
      <c r="O26" s="33"/>
      <c r="P26" s="61"/>
      <c r="Q26" s="61"/>
    </row>
    <row r="27" spans="1:17" s="1" customFormat="1">
      <c r="A27" s="82"/>
      <c r="B27" s="14" t="s">
        <v>150</v>
      </c>
      <c r="C27" s="7" t="s">
        <v>107</v>
      </c>
      <c r="D27" s="14" t="s">
        <v>140</v>
      </c>
      <c r="E27" s="32">
        <v>20</v>
      </c>
      <c r="F27" s="30">
        <f>11389.25/330.38</f>
        <v>34.473182396028818</v>
      </c>
      <c r="G27" s="30">
        <f>13766.35/385.27</f>
        <v>35.73169465569601</v>
      </c>
      <c r="H27" s="29">
        <f>15162.5/438.21</f>
        <v>34.600990392734076</v>
      </c>
      <c r="I27" s="29">
        <f>15176.97/477.15</f>
        <v>31.807544797233575</v>
      </c>
      <c r="J27" s="33">
        <f>24109.58/490.04</f>
        <v>49.199208227899767</v>
      </c>
      <c r="K27" s="33"/>
      <c r="L27" s="57"/>
      <c r="M27" s="33"/>
      <c r="N27" s="33"/>
      <c r="O27" s="33"/>
      <c r="P27" s="33"/>
      <c r="Q27" s="61"/>
    </row>
    <row r="28" spans="1:17" s="1" customFormat="1">
      <c r="A28" s="82"/>
      <c r="B28" s="6" t="s">
        <v>127</v>
      </c>
      <c r="C28" s="7" t="s">
        <v>34</v>
      </c>
      <c r="D28" s="6" t="s">
        <v>35</v>
      </c>
      <c r="E28" s="32">
        <v>800</v>
      </c>
      <c r="F28" s="30">
        <f>293010.72/330.38</f>
        <v>886.89000544827161</v>
      </c>
      <c r="G28" s="30">
        <f>374300.72/378.46</f>
        <v>989.00998784547903</v>
      </c>
      <c r="H28" s="29">
        <f>449110.3062/440.97</f>
        <v>1018.4599999999999</v>
      </c>
      <c r="I28" s="29">
        <f>477512.8992/493.38</f>
        <v>967.84</v>
      </c>
      <c r="J28" s="33">
        <f>546699.226/508.6</f>
        <v>1074.9100000000001</v>
      </c>
      <c r="K28" s="33"/>
      <c r="L28" s="57"/>
      <c r="M28" s="33"/>
      <c r="N28" s="33"/>
      <c r="O28" s="33"/>
      <c r="P28" s="33"/>
      <c r="Q28" s="61"/>
    </row>
    <row r="29" spans="1:17" s="1" customFormat="1">
      <c r="A29" s="82"/>
      <c r="B29" s="6" t="s">
        <v>126</v>
      </c>
      <c r="C29" s="7" t="s">
        <v>34</v>
      </c>
      <c r="D29" s="6" t="s">
        <v>35</v>
      </c>
      <c r="E29" s="32">
        <v>300</v>
      </c>
      <c r="F29" s="30">
        <f>138128.57/330.38</f>
        <v>418.08998728736611</v>
      </c>
      <c r="G29" s="30">
        <v>0</v>
      </c>
      <c r="H29" s="31">
        <v>0</v>
      </c>
      <c r="I29" s="29">
        <v>0</v>
      </c>
      <c r="J29" s="29">
        <v>0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18">
        <v>0</v>
      </c>
    </row>
    <row r="30" spans="1:17" s="1" customFormat="1">
      <c r="A30" s="82"/>
      <c r="B30" s="16" t="s">
        <v>168</v>
      </c>
      <c r="C30" s="17" t="s">
        <v>181</v>
      </c>
      <c r="D30" s="14" t="s">
        <v>167</v>
      </c>
      <c r="E30" s="31">
        <v>50</v>
      </c>
      <c r="F30" s="30">
        <f>35356.5/471.42</f>
        <v>75</v>
      </c>
      <c r="G30" s="30">
        <f>24574.5/491.49</f>
        <v>50</v>
      </c>
      <c r="H30" s="29">
        <f>30208/604.16</f>
        <v>50</v>
      </c>
      <c r="I30" s="29">
        <f>26184/523.68</f>
        <v>50.000000000000007</v>
      </c>
      <c r="J30" s="29"/>
      <c r="K30" s="33"/>
      <c r="L30" s="57"/>
      <c r="M30" s="33"/>
      <c r="N30" s="33"/>
      <c r="O30" s="33"/>
      <c r="P30" s="33"/>
      <c r="Q30" s="18"/>
    </row>
    <row r="31" spans="1:17" s="1" customFormat="1" ht="15.75" thickBot="1">
      <c r="A31" s="83"/>
      <c r="B31" s="6" t="s">
        <v>133</v>
      </c>
      <c r="C31" s="7" t="s">
        <v>36</v>
      </c>
      <c r="D31" s="6" t="s">
        <v>37</v>
      </c>
      <c r="E31" s="32">
        <v>1566</v>
      </c>
      <c r="F31" s="30">
        <f>519537.65/388.73</f>
        <v>1336.5000128623981</v>
      </c>
      <c r="G31" s="31">
        <f>649806.3/486.2</f>
        <v>1336.5000000000002</v>
      </c>
      <c r="H31" s="29">
        <v>1336.5000000000002</v>
      </c>
      <c r="I31" s="66"/>
      <c r="J31" s="69"/>
      <c r="K31" s="33"/>
      <c r="L31" s="57"/>
      <c r="M31" s="33"/>
      <c r="N31" s="33"/>
      <c r="O31" s="33"/>
      <c r="P31" s="33"/>
      <c r="Q31" s="62"/>
    </row>
    <row r="32" spans="1:17" s="1" customFormat="1" ht="15" customHeight="1">
      <c r="A32" s="81" t="s">
        <v>123</v>
      </c>
      <c r="B32" s="14" t="s">
        <v>144</v>
      </c>
      <c r="C32" s="7" t="s">
        <v>38</v>
      </c>
      <c r="D32" s="14" t="s">
        <v>19</v>
      </c>
      <c r="E32" s="31">
        <v>60</v>
      </c>
      <c r="F32" s="30">
        <f>15234/304.68</f>
        <v>50</v>
      </c>
      <c r="G32" s="29">
        <f>22215/370.25</f>
        <v>60</v>
      </c>
      <c r="H32" s="29">
        <f>25199.4/419.99</f>
        <v>60</v>
      </c>
      <c r="I32" s="29">
        <f>28435.2/473.92</f>
        <v>60</v>
      </c>
      <c r="J32" s="33">
        <f>29373/489.55</f>
        <v>60</v>
      </c>
      <c r="K32" s="33">
        <f>33478.2/557.97</f>
        <v>59.999999999999993</v>
      </c>
      <c r="L32" s="57">
        <f>38382/639.7</f>
        <v>59.999999999999993</v>
      </c>
      <c r="M32" s="33"/>
      <c r="N32" s="33"/>
      <c r="O32" s="33"/>
      <c r="P32" s="18"/>
      <c r="Q32" s="18"/>
    </row>
    <row r="33" spans="1:17" s="1" customFormat="1">
      <c r="A33" s="82"/>
      <c r="B33" s="14" t="s">
        <v>137</v>
      </c>
      <c r="C33" s="7" t="s">
        <v>21</v>
      </c>
      <c r="D33" s="14" t="s">
        <v>22</v>
      </c>
      <c r="E33" s="31">
        <v>100</v>
      </c>
      <c r="F33" s="30">
        <f>(34350.6+18460.79)/325.39</f>
        <v>162.30182242847044</v>
      </c>
      <c r="G33" s="29">
        <f>(52246.11+35788.68)/378.46</f>
        <v>232.6131955820959</v>
      </c>
      <c r="H33" s="29">
        <f>(65979.6+40641.82)/433.17</f>
        <v>246.14220744742252</v>
      </c>
      <c r="I33" s="29">
        <f>(58169.33+44804.94)/477.15</f>
        <v>215.81110761814944</v>
      </c>
      <c r="J33" s="33">
        <f>(61199.26+48164.43)/499.86</f>
        <v>218.78864081942945</v>
      </c>
      <c r="K33" s="33"/>
      <c r="L33" s="57"/>
      <c r="M33" s="33"/>
      <c r="N33" s="55"/>
      <c r="O33" s="55"/>
      <c r="P33" s="55"/>
      <c r="Q33" s="18"/>
    </row>
    <row r="34" spans="1:17" s="1" customFormat="1">
      <c r="A34" s="82"/>
      <c r="B34" s="14" t="s">
        <v>151</v>
      </c>
      <c r="C34" s="7" t="s">
        <v>107</v>
      </c>
      <c r="D34" s="14" t="s">
        <v>140</v>
      </c>
      <c r="E34" s="31">
        <v>20</v>
      </c>
      <c r="F34" s="30">
        <f>15944.94/330.38</f>
        <v>48.262425086264301</v>
      </c>
      <c r="G34" s="29">
        <f>19272.88/385.27</f>
        <v>50.024346562151223</v>
      </c>
      <c r="H34" s="29">
        <f>21227.5/438.21</f>
        <v>48.441386549827712</v>
      </c>
      <c r="I34" s="29">
        <f>23379.76/477.15</f>
        <v>48.998763491564496</v>
      </c>
      <c r="J34" s="33">
        <f>17221.13/490.04</f>
        <v>35.142294506570892</v>
      </c>
      <c r="K34" s="33"/>
      <c r="L34" s="57"/>
      <c r="M34" s="33"/>
      <c r="N34" s="37"/>
      <c r="O34" s="33"/>
      <c r="P34" s="33"/>
      <c r="Q34" s="18"/>
    </row>
    <row r="35" spans="1:17" s="1" customFormat="1">
      <c r="A35" s="82"/>
      <c r="B35" s="14" t="s">
        <v>154</v>
      </c>
      <c r="C35" s="7" t="s">
        <v>106</v>
      </c>
      <c r="D35" s="14" t="s">
        <v>105</v>
      </c>
      <c r="E35" s="31">
        <v>30</v>
      </c>
      <c r="F35" s="30">
        <f>(9244.5/308.15)+(9911.4/330.38)+(10335.3/344.51)+(10844.7/361.49)</f>
        <v>120</v>
      </c>
      <c r="G35" s="29">
        <f>(11163.3/372.11)+(11478.9/382.63)+(11891.1/396.37)+(12221.4/407.38)</f>
        <v>120</v>
      </c>
      <c r="H35" s="29">
        <f>(12770.1/425.67)+(13088.1/436.27)+(13451.1/448.37)+(13783.5/459.45)+(14216.1/473.87)</f>
        <v>150</v>
      </c>
      <c r="I35" s="29">
        <f>(14221.8/474.06)+(14328.9/477.63)+(14436.6/481.22)+(14556.9/485.23)</f>
        <v>120</v>
      </c>
      <c r="J35" s="33">
        <f>(14686.5/489.55)+(15013.8/500.46)</f>
        <v>60</v>
      </c>
      <c r="K35" s="33"/>
      <c r="L35" s="57"/>
      <c r="M35" s="33"/>
      <c r="N35" s="33"/>
      <c r="O35" s="33"/>
      <c r="P35" s="33"/>
      <c r="Q35" s="18"/>
    </row>
    <row r="36" spans="1:17" s="1" customFormat="1">
      <c r="A36" s="82"/>
      <c r="B36" s="16" t="s">
        <v>168</v>
      </c>
      <c r="C36" s="17" t="s">
        <v>181</v>
      </c>
      <c r="D36" s="14" t="s">
        <v>167</v>
      </c>
      <c r="E36" s="31">
        <v>50</v>
      </c>
      <c r="F36" s="30">
        <f>35356.5/471.42</f>
        <v>75</v>
      </c>
      <c r="G36" s="30">
        <f>24574.5/491.49</f>
        <v>50</v>
      </c>
      <c r="H36" s="29">
        <f>30208/604.16</f>
        <v>50</v>
      </c>
      <c r="I36" s="29">
        <f>26184/523.68</f>
        <v>50.000000000000007</v>
      </c>
      <c r="J36" s="33"/>
      <c r="K36" s="33"/>
      <c r="L36" s="57"/>
      <c r="M36" s="33"/>
      <c r="N36" s="33"/>
      <c r="O36" s="33"/>
      <c r="P36" s="33"/>
      <c r="Q36" s="18"/>
    </row>
    <row r="37" spans="1:17" s="1" customFormat="1" ht="15.75" thickBot="1">
      <c r="A37" s="83"/>
      <c r="B37" s="14" t="s">
        <v>108</v>
      </c>
      <c r="C37" s="7" t="s">
        <v>70</v>
      </c>
      <c r="D37" s="14" t="s">
        <v>39</v>
      </c>
      <c r="E37" s="31">
        <v>1600</v>
      </c>
      <c r="F37" s="29">
        <v>1200</v>
      </c>
      <c r="G37" s="31">
        <v>1200</v>
      </c>
      <c r="H37" s="29">
        <v>1200</v>
      </c>
      <c r="I37" s="29">
        <v>1600</v>
      </c>
      <c r="J37" s="33">
        <v>1600</v>
      </c>
      <c r="K37" s="33"/>
      <c r="L37" s="57"/>
      <c r="M37" s="33"/>
      <c r="N37" s="33"/>
      <c r="O37" s="33"/>
      <c r="P37" s="33"/>
      <c r="Q37" s="58"/>
    </row>
    <row r="38" spans="1:17" s="1" customFormat="1">
      <c r="A38" s="81" t="s">
        <v>122</v>
      </c>
      <c r="B38" s="16" t="s">
        <v>120</v>
      </c>
      <c r="C38" s="7" t="s">
        <v>163</v>
      </c>
      <c r="D38" s="14" t="s">
        <v>162</v>
      </c>
      <c r="E38" s="31">
        <v>5</v>
      </c>
      <c r="F38" s="29">
        <v>0</v>
      </c>
      <c r="G38" s="31">
        <f>(1600+200)/396.37</f>
        <v>4.541211494310871</v>
      </c>
      <c r="H38" s="29">
        <v>0</v>
      </c>
      <c r="I38" s="29">
        <f>2000/474.06</f>
        <v>4.2188752478589207</v>
      </c>
      <c r="J38" s="33">
        <f>2400/540.04</f>
        <v>4.4441152507221693</v>
      </c>
      <c r="K38" s="33"/>
      <c r="L38" s="57"/>
      <c r="M38" s="33"/>
      <c r="N38" s="64"/>
      <c r="O38" s="64"/>
      <c r="P38" s="64"/>
      <c r="Q38" s="58"/>
    </row>
    <row r="39" spans="1:17" s="1" customFormat="1">
      <c r="A39" s="82"/>
      <c r="B39" s="16" t="s">
        <v>171</v>
      </c>
      <c r="C39" s="7" t="s">
        <v>164</v>
      </c>
      <c r="D39" s="14" t="s">
        <v>162</v>
      </c>
      <c r="E39" s="31">
        <v>5</v>
      </c>
      <c r="F39" s="29">
        <v>0</v>
      </c>
      <c r="G39" s="31">
        <f>(1600+200)/396.37</f>
        <v>4.541211494310871</v>
      </c>
      <c r="H39" s="29">
        <v>0</v>
      </c>
      <c r="I39" s="29">
        <f>(2000/474.06)+(2400/481.22)</f>
        <v>9.2061991329842279</v>
      </c>
      <c r="J39" s="33">
        <v>4.4441152507221693</v>
      </c>
      <c r="K39" s="33"/>
      <c r="L39" s="57"/>
      <c r="M39" s="33"/>
      <c r="N39" s="64"/>
      <c r="O39" s="64"/>
      <c r="P39" s="64"/>
      <c r="Q39" s="58"/>
    </row>
    <row r="40" spans="1:17" s="1" customFormat="1">
      <c r="A40" s="82"/>
      <c r="B40" s="16" t="s">
        <v>121</v>
      </c>
      <c r="C40" s="7" t="s">
        <v>165</v>
      </c>
      <c r="D40" s="14" t="s">
        <v>161</v>
      </c>
      <c r="E40" s="31">
        <v>5</v>
      </c>
      <c r="F40" s="29">
        <v>0</v>
      </c>
      <c r="G40" s="31">
        <f>(1600+200)/396.37</f>
        <v>4.541211494310871</v>
      </c>
      <c r="H40" s="29">
        <v>0</v>
      </c>
      <c r="I40" s="29">
        <f>2000/474.06</f>
        <v>4.2188752478589207</v>
      </c>
      <c r="J40" s="33">
        <v>4.4441152507221693</v>
      </c>
      <c r="K40" s="33"/>
      <c r="L40" s="57"/>
      <c r="M40" s="33"/>
      <c r="N40" s="64"/>
      <c r="O40" s="64"/>
      <c r="P40" s="64"/>
      <c r="Q40" s="58"/>
    </row>
    <row r="41" spans="1:17" s="1" customFormat="1">
      <c r="A41" s="82"/>
      <c r="B41" s="65" t="s">
        <v>166</v>
      </c>
      <c r="C41" s="7" t="s">
        <v>165</v>
      </c>
      <c r="D41" s="14" t="s">
        <v>161</v>
      </c>
      <c r="E41" s="31">
        <v>5</v>
      </c>
      <c r="F41" s="29">
        <v>0</v>
      </c>
      <c r="G41" s="31">
        <f>(1600+200)/396.37</f>
        <v>4.541211494310871</v>
      </c>
      <c r="H41" s="29">
        <v>0</v>
      </c>
      <c r="I41" s="29">
        <f>(2000/474.06)+(2400/481.22)</f>
        <v>9.2061991329842279</v>
      </c>
      <c r="J41" s="33">
        <v>4.4441152507221693</v>
      </c>
      <c r="K41" s="33"/>
      <c r="L41" s="57"/>
      <c r="M41" s="33"/>
      <c r="N41" s="64"/>
      <c r="O41" s="64"/>
      <c r="P41" s="64"/>
      <c r="Q41" s="58"/>
    </row>
    <row r="42" spans="1:17" s="1" customFormat="1">
      <c r="A42" s="82"/>
      <c r="B42" s="65" t="s">
        <v>155</v>
      </c>
      <c r="C42" s="7" t="s">
        <v>106</v>
      </c>
      <c r="D42" s="14" t="s">
        <v>105</v>
      </c>
      <c r="E42" s="31">
        <v>30</v>
      </c>
      <c r="F42" s="30">
        <f>(9244.5/308.15)+(9911.4/330.38)+(10335.3/344.51)+(10844.7/361.49)</f>
        <v>120</v>
      </c>
      <c r="G42" s="29">
        <f>(11163.3/372.11)+(11478.9/382.63)+(11891.1/396.37)+(12221.4/407.38)</f>
        <v>120</v>
      </c>
      <c r="H42" s="29">
        <f>(12770.1/425.67)+(13088.1/436.27)+(13451.1/448.37)+(13783.5/459.45)+(14216.1/473.87)</f>
        <v>150</v>
      </c>
      <c r="I42" s="29">
        <f>(14221.8/474.06)+(14328.9/477.63)+(14436.6/481.22)+(14556.9/485.23)</f>
        <v>120</v>
      </c>
      <c r="J42" s="33">
        <f>(14686.5/489.55)+(15013.8/500.46)</f>
        <v>60</v>
      </c>
      <c r="K42" s="33"/>
      <c r="L42" s="57"/>
      <c r="M42" s="33"/>
      <c r="N42" s="64"/>
      <c r="O42" s="64"/>
      <c r="P42" s="64"/>
      <c r="Q42" s="58"/>
    </row>
    <row r="43" spans="1:17" s="1" customFormat="1">
      <c r="A43" s="82"/>
      <c r="B43" s="24" t="s">
        <v>134</v>
      </c>
      <c r="C43" s="7" t="s">
        <v>61</v>
      </c>
      <c r="D43" s="6" t="s">
        <v>135</v>
      </c>
      <c r="E43" s="32">
        <v>450</v>
      </c>
      <c r="F43" s="29">
        <v>400</v>
      </c>
      <c r="G43" s="31">
        <v>450</v>
      </c>
      <c r="H43" s="29">
        <v>450</v>
      </c>
      <c r="I43" s="29">
        <v>450</v>
      </c>
      <c r="J43" s="33">
        <v>450</v>
      </c>
      <c r="K43" s="33"/>
      <c r="L43" s="57"/>
      <c r="M43" s="33"/>
      <c r="N43" s="64"/>
      <c r="O43" s="64"/>
      <c r="P43" s="64"/>
      <c r="Q43" s="58"/>
    </row>
    <row r="44" spans="1:17" s="1" customFormat="1">
      <c r="A44" s="82"/>
      <c r="B44" s="40" t="s">
        <v>138</v>
      </c>
      <c r="C44" s="7" t="s">
        <v>21</v>
      </c>
      <c r="D44" s="14" t="s">
        <v>22</v>
      </c>
      <c r="E44" s="32">
        <v>180</v>
      </c>
      <c r="F44" s="29">
        <f>(51800.28+367.04)/325.39</f>
        <v>160.32244383662683</v>
      </c>
      <c r="G44" s="31">
        <f>(71154.01+71577.29)/378.46</f>
        <v>377.13708185805632</v>
      </c>
      <c r="H44" s="29">
        <f>(86090.49+81283.56)/433.17</f>
        <v>386.39344829974368</v>
      </c>
      <c r="I44" s="29">
        <f>(84833.92+89609.8)/477.15</f>
        <v>365.5951377973384</v>
      </c>
      <c r="J44" s="33">
        <f>(93547.53+96328.78)/499.86</f>
        <v>379.85898051454404</v>
      </c>
      <c r="K44" s="33"/>
      <c r="L44" s="57"/>
      <c r="M44" s="33"/>
      <c r="N44" s="64"/>
      <c r="O44" s="64"/>
      <c r="P44" s="64"/>
      <c r="Q44" s="58"/>
    </row>
    <row r="45" spans="1:17" s="1" customFormat="1">
      <c r="A45" s="82"/>
      <c r="B45" s="40" t="s">
        <v>153</v>
      </c>
      <c r="C45" s="7" t="s">
        <v>107</v>
      </c>
      <c r="D45" s="14" t="s">
        <v>140</v>
      </c>
      <c r="E45" s="32">
        <v>20</v>
      </c>
      <c r="F45" s="29">
        <f>11389.25/330.38</f>
        <v>34.473182396028818</v>
      </c>
      <c r="G45" s="30">
        <f>13766.35/385.27</f>
        <v>35.73169465569601</v>
      </c>
      <c r="H45" s="29">
        <f>15162.5/438.21</f>
        <v>34.600990392734076</v>
      </c>
      <c r="I45" s="29">
        <f>16699.83/477.15</f>
        <v>34.999119773656091</v>
      </c>
      <c r="J45" s="33">
        <f>17221.13/490.04</f>
        <v>35.142294506570892</v>
      </c>
      <c r="K45" s="33"/>
      <c r="L45" s="57"/>
      <c r="M45" s="33"/>
      <c r="N45" s="64"/>
      <c r="O45" s="64"/>
      <c r="P45" s="64"/>
      <c r="Q45" s="58"/>
    </row>
    <row r="46" spans="1:17" s="1" customFormat="1">
      <c r="A46" s="82"/>
      <c r="B46" s="40" t="s">
        <v>156</v>
      </c>
      <c r="C46" s="7" t="s">
        <v>85</v>
      </c>
      <c r="D46" s="14" t="s">
        <v>82</v>
      </c>
      <c r="E46" s="32">
        <v>15</v>
      </c>
      <c r="F46" s="29">
        <f>7310.97/330.38</f>
        <v>22.128972698105212</v>
      </c>
      <c r="G46" s="29">
        <f>8467.2/407.38</f>
        <v>20.784525504443028</v>
      </c>
      <c r="H46" s="66"/>
      <c r="I46" s="66"/>
      <c r="J46" s="69"/>
      <c r="K46" s="33"/>
      <c r="L46" s="57"/>
      <c r="M46" s="33"/>
      <c r="N46" s="64"/>
      <c r="O46" s="64"/>
      <c r="P46" s="64"/>
      <c r="Q46" s="58"/>
    </row>
    <row r="47" spans="1:17" s="1" customFormat="1">
      <c r="A47" s="82"/>
      <c r="B47" s="16" t="s">
        <v>168</v>
      </c>
      <c r="C47" s="17" t="s">
        <v>181</v>
      </c>
      <c r="D47" s="14" t="s">
        <v>167</v>
      </c>
      <c r="E47" s="31">
        <v>50</v>
      </c>
      <c r="F47" s="29">
        <v>0</v>
      </c>
      <c r="G47" s="30">
        <f>24574.5/491.49</f>
        <v>50</v>
      </c>
      <c r="H47" s="29">
        <f>30208/604.16</f>
        <v>50</v>
      </c>
      <c r="I47" s="29">
        <f>26184/523.68</f>
        <v>50.000000000000007</v>
      </c>
      <c r="J47" s="33"/>
      <c r="K47" s="33"/>
      <c r="L47" s="57"/>
      <c r="M47" s="33"/>
      <c r="N47" s="64"/>
      <c r="O47" s="64"/>
      <c r="P47" s="64"/>
      <c r="Q47" s="58"/>
    </row>
    <row r="48" spans="1:17" s="1" customFormat="1" ht="15.75" thickBot="1">
      <c r="A48" s="83"/>
      <c r="B48" s="14" t="s">
        <v>145</v>
      </c>
      <c r="C48" s="7" t="s">
        <v>38</v>
      </c>
      <c r="D48" s="6" t="s">
        <v>41</v>
      </c>
      <c r="E48" s="32">
        <v>60</v>
      </c>
      <c r="F48" s="30">
        <f>15234/304.68</f>
        <v>50</v>
      </c>
      <c r="G48" s="29">
        <f>22215/370.25</f>
        <v>60</v>
      </c>
      <c r="H48" s="29">
        <f>25199.4/419.99</f>
        <v>60</v>
      </c>
      <c r="I48" s="29">
        <f>(56870.4/2)/473.92</f>
        <v>60</v>
      </c>
      <c r="J48" s="33">
        <f>(58746/489.55)/2</f>
        <v>60</v>
      </c>
      <c r="K48" s="33">
        <f>(66956.4/557.97)/2</f>
        <v>59.999999999999993</v>
      </c>
      <c r="L48" s="57">
        <f>38382/639.7</f>
        <v>59.999999999999993</v>
      </c>
      <c r="M48" s="33"/>
      <c r="N48" s="64"/>
      <c r="O48" s="64"/>
      <c r="P48" s="64"/>
      <c r="Q48" s="58"/>
    </row>
    <row r="49" spans="1:17" s="1" customFormat="1" ht="15" customHeight="1">
      <c r="A49" s="81" t="s">
        <v>113</v>
      </c>
      <c r="B49" s="14" t="s">
        <v>139</v>
      </c>
      <c r="C49" s="7" t="s">
        <v>21</v>
      </c>
      <c r="D49" s="14" t="s">
        <v>22</v>
      </c>
      <c r="E49" s="32">
        <v>100</v>
      </c>
      <c r="F49" s="57">
        <f>(6643.07+367.04)/325.39</f>
        <v>21.543716770644458</v>
      </c>
      <c r="G49" s="33">
        <f>(12242.41+447.4)/378.46</f>
        <v>33.530122073666966</v>
      </c>
      <c r="H49" s="29">
        <f>(14467.83+508.07)/433.17</f>
        <v>34.57280051711799</v>
      </c>
      <c r="I49" s="29">
        <f>(10308.27+560.11)/477.15</f>
        <v>22.777700932620771</v>
      </c>
      <c r="J49" s="33">
        <f>(14675.3+602.1)/499.86</f>
        <v>30.563357740167245</v>
      </c>
      <c r="K49" s="33"/>
      <c r="L49" s="57"/>
      <c r="M49" s="33"/>
      <c r="N49" s="55"/>
      <c r="O49" s="55"/>
      <c r="P49" s="55"/>
      <c r="Q49" s="19"/>
    </row>
    <row r="50" spans="1:17" s="1" customFormat="1" ht="15" customHeight="1">
      <c r="A50" s="82"/>
      <c r="B50" s="14" t="s">
        <v>180</v>
      </c>
      <c r="C50" s="15" t="s">
        <v>18</v>
      </c>
      <c r="D50" s="14" t="s">
        <v>19</v>
      </c>
      <c r="E50" s="29">
        <v>30</v>
      </c>
      <c r="F50" s="30">
        <f>(15234/304.68)/2</f>
        <v>25</v>
      </c>
      <c r="G50" s="29">
        <f>(22215/370.25)/2</f>
        <v>30</v>
      </c>
      <c r="H50" s="29">
        <f>(25199.4/419.99)/2</f>
        <v>30</v>
      </c>
      <c r="I50" s="29">
        <f>(28435.2/473.92)/2</f>
        <v>30</v>
      </c>
      <c r="J50" s="33">
        <f>(29373/489.55)/2</f>
        <v>30</v>
      </c>
      <c r="K50" s="33">
        <v>29.999999999999996</v>
      </c>
      <c r="L50" s="18">
        <f>19191/639.7</f>
        <v>29.999999999999996</v>
      </c>
      <c r="M50" s="33"/>
      <c r="N50" s="55"/>
      <c r="O50" s="55"/>
      <c r="P50" s="55"/>
      <c r="Q50" s="19"/>
    </row>
    <row r="51" spans="1:17" s="1" customFormat="1" ht="15.75" thickBot="1">
      <c r="A51" s="83"/>
      <c r="B51" s="14" t="s">
        <v>57</v>
      </c>
      <c r="C51" s="7">
        <v>8</v>
      </c>
      <c r="D51" s="6" t="s">
        <v>20</v>
      </c>
      <c r="E51" s="32">
        <v>150</v>
      </c>
      <c r="F51" s="33">
        <f>41337.15/330.38</f>
        <v>125.12001331799746</v>
      </c>
      <c r="G51" s="29">
        <f>48473.16/378.46</f>
        <v>128.08000845531893</v>
      </c>
      <c r="H51" s="29">
        <f>66807.0927/473.92</f>
        <v>140.96702544733287</v>
      </c>
      <c r="I51" s="29">
        <f>67360.0431/504.91</f>
        <v>133.41</v>
      </c>
      <c r="J51" s="33"/>
      <c r="K51" s="33"/>
      <c r="L51" s="57"/>
      <c r="M51" s="33"/>
      <c r="N51" s="33"/>
      <c r="O51" s="33"/>
      <c r="P51" s="19"/>
      <c r="Q51" s="19"/>
    </row>
    <row r="52" spans="1:17" s="1" customFormat="1" ht="15" customHeight="1">
      <c r="A52" s="81" t="s">
        <v>87</v>
      </c>
      <c r="B52" s="6" t="s">
        <v>176</v>
      </c>
      <c r="C52" s="7">
        <v>15</v>
      </c>
      <c r="D52" s="6" t="s">
        <v>32</v>
      </c>
      <c r="E52" s="32">
        <v>35</v>
      </c>
      <c r="F52" s="33">
        <f>11388.65/325.39</f>
        <v>35</v>
      </c>
      <c r="G52" s="33">
        <v>0</v>
      </c>
      <c r="H52" s="29">
        <v>0</v>
      </c>
      <c r="I52" s="29">
        <v>0</v>
      </c>
      <c r="J52" s="33">
        <v>0</v>
      </c>
      <c r="K52" s="33">
        <v>0</v>
      </c>
      <c r="L52" s="57">
        <v>0</v>
      </c>
      <c r="M52" s="33">
        <v>0</v>
      </c>
      <c r="N52" s="33">
        <v>0</v>
      </c>
      <c r="O52" s="33">
        <v>0</v>
      </c>
      <c r="P52" s="33">
        <v>0</v>
      </c>
      <c r="Q52" s="33">
        <v>0</v>
      </c>
    </row>
    <row r="53" spans="1:17" s="1" customFormat="1">
      <c r="A53" s="82"/>
      <c r="B53" s="6" t="s">
        <v>175</v>
      </c>
      <c r="C53" s="7" t="s">
        <v>103</v>
      </c>
      <c r="D53" s="6" t="s">
        <v>160</v>
      </c>
      <c r="E53" s="32">
        <v>0.5</v>
      </c>
      <c r="F53" s="33">
        <f>160/325.39</f>
        <v>0.49171763115031197</v>
      </c>
      <c r="G53" s="33">
        <f>(3800/381.11)+(960/417.36)</f>
        <v>12.271047063593137</v>
      </c>
      <c r="H53" s="29">
        <v>0</v>
      </c>
      <c r="I53" s="29">
        <v>0</v>
      </c>
      <c r="J53" s="69"/>
      <c r="K53" s="33"/>
      <c r="L53" s="57"/>
      <c r="M53" s="33"/>
      <c r="N53" s="33"/>
      <c r="O53" s="33"/>
      <c r="P53" s="33"/>
      <c r="Q53" s="8"/>
    </row>
    <row r="54" spans="1:17" s="1" customFormat="1">
      <c r="A54" s="82"/>
      <c r="B54" s="14" t="s">
        <v>170</v>
      </c>
      <c r="C54" s="7" t="s">
        <v>107</v>
      </c>
      <c r="D54" s="14" t="s">
        <v>140</v>
      </c>
      <c r="E54" s="32">
        <v>20</v>
      </c>
      <c r="F54" s="33">
        <f>7972.47/330.38</f>
        <v>24.13121254313215</v>
      </c>
      <c r="G54" s="33">
        <f>9636.44/385.27</f>
        <v>25.012173281075611</v>
      </c>
      <c r="H54" s="29">
        <f>10613.75/438.21</f>
        <v>24.220693274913856</v>
      </c>
      <c r="I54" s="29">
        <f>11689.98/477.15</f>
        <v>24.49959132348318</v>
      </c>
      <c r="J54" s="33">
        <f>12054.79/490.04</f>
        <v>24.599604113949884</v>
      </c>
      <c r="K54" s="33"/>
      <c r="L54" s="57"/>
      <c r="M54" s="33"/>
      <c r="N54" s="33"/>
      <c r="O54" s="33"/>
      <c r="P54" s="33"/>
      <c r="Q54" s="8"/>
    </row>
    <row r="55" spans="1:17" s="1" customFormat="1">
      <c r="A55" s="82"/>
      <c r="B55" s="6" t="s">
        <v>129</v>
      </c>
      <c r="C55" s="7" t="s">
        <v>40</v>
      </c>
      <c r="D55" s="6" t="s">
        <v>64</v>
      </c>
      <c r="E55" s="32">
        <v>800</v>
      </c>
      <c r="F55" s="33">
        <f>276980.82/344.51</f>
        <v>803.98484804504949</v>
      </c>
      <c r="G55" s="33">
        <v>0</v>
      </c>
      <c r="H55" s="29">
        <v>0</v>
      </c>
      <c r="I55" s="29">
        <v>0</v>
      </c>
      <c r="J55" s="33">
        <v>0</v>
      </c>
      <c r="K55" s="33">
        <v>0</v>
      </c>
      <c r="L55" s="57">
        <v>0</v>
      </c>
      <c r="M55" s="33">
        <v>0</v>
      </c>
      <c r="N55" s="33">
        <v>0</v>
      </c>
      <c r="O55" s="33">
        <v>0</v>
      </c>
      <c r="P55" s="33">
        <v>0</v>
      </c>
      <c r="Q55" s="33">
        <v>0</v>
      </c>
    </row>
    <row r="56" spans="1:17" s="1" customFormat="1">
      <c r="A56" s="82"/>
      <c r="B56" s="16" t="s">
        <v>168</v>
      </c>
      <c r="C56" s="17" t="s">
        <v>181</v>
      </c>
      <c r="D56" s="14" t="s">
        <v>167</v>
      </c>
      <c r="E56" s="31">
        <v>25</v>
      </c>
      <c r="F56" s="33">
        <v>0</v>
      </c>
      <c r="G56" s="33">
        <f>12287.25/491.49</f>
        <v>25</v>
      </c>
      <c r="H56" s="29">
        <f>15104/604.16</f>
        <v>25</v>
      </c>
      <c r="I56" s="29">
        <f>13092/523.68</f>
        <v>25.000000000000004</v>
      </c>
      <c r="J56" s="33"/>
      <c r="K56" s="33"/>
      <c r="L56" s="57"/>
      <c r="M56" s="33"/>
      <c r="N56" s="33"/>
      <c r="O56" s="33"/>
      <c r="P56" s="33"/>
      <c r="Q56" s="33"/>
    </row>
    <row r="57" spans="1:17" s="1" customFormat="1" ht="15.75" thickBot="1">
      <c r="A57" s="83"/>
      <c r="B57" s="6" t="s">
        <v>126</v>
      </c>
      <c r="C57" s="7" t="s">
        <v>34</v>
      </c>
      <c r="D57" s="6" t="s">
        <v>35</v>
      </c>
      <c r="E57" s="32">
        <v>500</v>
      </c>
      <c r="F57" s="33">
        <v>0</v>
      </c>
      <c r="G57" s="32">
        <f>172801.05/378.12</f>
        <v>457.00055537924464</v>
      </c>
      <c r="H57" s="29">
        <f>208891.8987/440.97</f>
        <v>473.70999999999992</v>
      </c>
      <c r="I57" s="29">
        <f>222736.401/493.38</f>
        <v>451.45000000000005</v>
      </c>
      <c r="J57" s="33">
        <f>249198.742/508.6</f>
        <v>489.96999999999997</v>
      </c>
      <c r="K57" s="33"/>
      <c r="L57" s="57"/>
      <c r="M57" s="33"/>
      <c r="N57" s="33"/>
      <c r="O57" s="33"/>
      <c r="P57" s="8"/>
      <c r="Q57" s="62"/>
    </row>
    <row r="58" spans="1:17" s="1" customFormat="1">
      <c r="A58" s="75" t="s">
        <v>88</v>
      </c>
      <c r="B58" s="40" t="s">
        <v>173</v>
      </c>
      <c r="C58" s="7" t="s">
        <v>99</v>
      </c>
      <c r="D58" s="14" t="s">
        <v>77</v>
      </c>
      <c r="E58" s="32">
        <v>2.5</v>
      </c>
      <c r="F58" s="33">
        <f>1136.66/378.46</f>
        <v>3.0033821275696249</v>
      </c>
      <c r="G58" s="30">
        <f>1213.47/438.21</f>
        <v>2.7691517765454923</v>
      </c>
      <c r="H58" s="29">
        <f>1343.48/486.2</f>
        <v>2.763225010283834</v>
      </c>
      <c r="I58" s="29">
        <f>(8282.21/490.04)+(1300.15/499.86)</f>
        <v>19.50211799488331</v>
      </c>
      <c r="J58" s="33"/>
      <c r="K58" s="33"/>
      <c r="L58" s="57"/>
      <c r="M58" s="33"/>
      <c r="N58" s="33"/>
      <c r="O58" s="33"/>
      <c r="P58" s="33"/>
      <c r="Q58" s="33"/>
    </row>
    <row r="59" spans="1:17" s="1" customFormat="1">
      <c r="A59" s="76"/>
      <c r="B59" s="16" t="s">
        <v>168</v>
      </c>
      <c r="C59" s="17" t="s">
        <v>181</v>
      </c>
      <c r="D59" s="14" t="s">
        <v>167</v>
      </c>
      <c r="E59" s="31">
        <v>50</v>
      </c>
      <c r="F59" s="33">
        <v>0</v>
      </c>
      <c r="G59" s="30">
        <f>24574.5/491.49</f>
        <v>50</v>
      </c>
      <c r="H59" s="29">
        <f>30208/604.16</f>
        <v>50</v>
      </c>
      <c r="I59" s="29">
        <f>26184/523.68</f>
        <v>50.000000000000007</v>
      </c>
      <c r="J59" s="33"/>
      <c r="K59" s="33"/>
      <c r="L59" s="57"/>
      <c r="M59" s="33"/>
      <c r="N59" s="33"/>
      <c r="O59" s="33"/>
      <c r="P59" s="33"/>
      <c r="Q59" s="33"/>
    </row>
    <row r="60" spans="1:17" s="1" customFormat="1" ht="15.75" thickBot="1">
      <c r="A60" s="77"/>
      <c r="B60" s="40" t="s">
        <v>89</v>
      </c>
      <c r="C60" s="7" t="s">
        <v>38</v>
      </c>
      <c r="D60" s="6" t="s">
        <v>41</v>
      </c>
      <c r="E60" s="32">
        <v>60</v>
      </c>
      <c r="F60" s="30">
        <f>15234/304.68</f>
        <v>50</v>
      </c>
      <c r="G60" s="29">
        <f>22215/370.25</f>
        <v>60</v>
      </c>
      <c r="H60" s="29">
        <f>25199.4/419.99</f>
        <v>60</v>
      </c>
      <c r="I60" s="29">
        <f>(56870.4/2)/473.92</f>
        <v>60</v>
      </c>
      <c r="J60" s="30">
        <v>60</v>
      </c>
      <c r="K60" s="33">
        <f>(66956.4/557.97)/2</f>
        <v>59.999999999999993</v>
      </c>
      <c r="L60" s="57">
        <f>38382/639.7</f>
        <v>59.999999999999993</v>
      </c>
      <c r="M60" s="30"/>
      <c r="N60" s="30"/>
      <c r="O60" s="33"/>
      <c r="P60" s="18"/>
      <c r="Q60" s="8"/>
    </row>
    <row r="61" spans="1:17" s="1" customFormat="1">
      <c r="A61" s="75" t="s">
        <v>112</v>
      </c>
      <c r="B61" s="6" t="s">
        <v>130</v>
      </c>
      <c r="C61" s="7" t="s">
        <v>34</v>
      </c>
      <c r="D61" s="6" t="s">
        <v>35</v>
      </c>
      <c r="E61" s="32">
        <v>230</v>
      </c>
      <c r="F61" s="32">
        <f>76112.94/330.38</f>
        <v>230.37998668200254</v>
      </c>
      <c r="G61" s="32">
        <f>75241.63/378.1</f>
        <v>198.99928590320022</v>
      </c>
      <c r="H61" s="32">
        <f>90204.8232/440.97</f>
        <v>204.55999999999997</v>
      </c>
      <c r="I61" s="29">
        <f>93620.89/473.92</f>
        <v>197.54576721809588</v>
      </c>
      <c r="J61" s="32">
        <f>109099.786/508.6</f>
        <v>214.50999999999996</v>
      </c>
      <c r="K61" s="19"/>
      <c r="L61" s="32"/>
      <c r="M61" s="32"/>
      <c r="N61" s="32"/>
      <c r="O61" s="32"/>
      <c r="P61" s="37"/>
      <c r="Q61" s="8"/>
    </row>
    <row r="62" spans="1:17" s="1" customFormat="1">
      <c r="A62" s="76"/>
      <c r="B62" s="14" t="s">
        <v>152</v>
      </c>
      <c r="C62" s="7" t="s">
        <v>107</v>
      </c>
      <c r="D62" s="14" t="s">
        <v>140</v>
      </c>
      <c r="E62" s="32">
        <v>12</v>
      </c>
      <c r="F62" s="32">
        <f>5314.98/330.38</f>
        <v>16.087475028754767</v>
      </c>
      <c r="G62" s="32">
        <f>6424.29/385.27</f>
        <v>16.674773535442679</v>
      </c>
      <c r="H62" s="33">
        <f>7075.83/438.21</f>
        <v>16.147121243239543</v>
      </c>
      <c r="I62" s="29">
        <f>7793.25/477.15</f>
        <v>16.332914177931467</v>
      </c>
      <c r="J62" s="37">
        <f>8036.53/490.04</f>
        <v>16.399742878132397</v>
      </c>
      <c r="K62" s="51"/>
      <c r="L62" s="63"/>
      <c r="M62" s="37"/>
      <c r="N62" s="37"/>
      <c r="O62" s="37"/>
      <c r="P62" s="37"/>
      <c r="Q62" s="8"/>
    </row>
    <row r="63" spans="1:17" s="1" customFormat="1">
      <c r="A63" s="76"/>
      <c r="B63" s="16" t="s">
        <v>168</v>
      </c>
      <c r="C63" s="17" t="s">
        <v>181</v>
      </c>
      <c r="D63" s="14" t="s">
        <v>167</v>
      </c>
      <c r="E63" s="31">
        <v>25</v>
      </c>
      <c r="F63" s="32">
        <v>0</v>
      </c>
      <c r="G63" s="33">
        <f>12287.25/491.49</f>
        <v>25</v>
      </c>
      <c r="H63" s="29">
        <f>15104/604.16</f>
        <v>25</v>
      </c>
      <c r="I63" s="29">
        <f>13092/523.68</f>
        <v>25.000000000000004</v>
      </c>
      <c r="J63" s="37"/>
      <c r="K63" s="51"/>
      <c r="L63" s="63"/>
      <c r="M63" s="37"/>
      <c r="N63" s="37"/>
      <c r="O63" s="37"/>
      <c r="P63" s="37"/>
      <c r="Q63" s="8"/>
    </row>
    <row r="64" spans="1:17" s="1" customFormat="1" ht="15.75" thickBot="1">
      <c r="A64" s="77"/>
      <c r="B64" s="52" t="s">
        <v>146</v>
      </c>
      <c r="C64" s="15" t="s">
        <v>18</v>
      </c>
      <c r="D64" s="3" t="s">
        <v>32</v>
      </c>
      <c r="E64" s="32">
        <v>67.599999999999994</v>
      </c>
      <c r="F64" s="32">
        <f>(13215.2/330.38)+(2381.5/372.11)</f>
        <v>46.399989250490449</v>
      </c>
      <c r="G64" s="32">
        <f>18560.8468/372.11</f>
        <v>49.879999999999995</v>
      </c>
      <c r="H64" s="33">
        <f>20948.97/419.99</f>
        <v>49.879687611609803</v>
      </c>
      <c r="I64" s="29">
        <f>23800.18/477.15</f>
        <v>49.879870061825422</v>
      </c>
      <c r="J64" s="37">
        <f>25185.14/504.91</f>
        <v>49.880453942286742</v>
      </c>
      <c r="K64" s="51">
        <f>27831.75/558.64</f>
        <v>49.820546326793639</v>
      </c>
      <c r="L64" s="63"/>
      <c r="M64" s="33"/>
      <c r="N64" s="33"/>
      <c r="O64" s="33"/>
      <c r="P64" s="18"/>
      <c r="Q64" s="8"/>
    </row>
    <row r="65" spans="1:25" ht="45.75" thickBot="1">
      <c r="A65" s="67" t="s">
        <v>109</v>
      </c>
      <c r="B65" s="52" t="s">
        <v>147</v>
      </c>
      <c r="C65" s="15" t="s">
        <v>18</v>
      </c>
      <c r="D65" s="3" t="s">
        <v>41</v>
      </c>
      <c r="E65" s="32">
        <v>30</v>
      </c>
      <c r="F65" s="33">
        <f>8748.77/304.68</f>
        <v>28.714618616253119</v>
      </c>
      <c r="G65" s="33">
        <f>11107.5/370.25</f>
        <v>30</v>
      </c>
      <c r="H65" s="33">
        <f>12599.7/419.99</f>
        <v>30</v>
      </c>
      <c r="I65" s="33">
        <f>14217.6/473.92</f>
        <v>30</v>
      </c>
      <c r="J65" s="33">
        <f>14686.5/489.55</f>
        <v>30</v>
      </c>
      <c r="K65" s="33">
        <f>16632.9/557.97</f>
        <v>29.809667186407871</v>
      </c>
      <c r="L65" s="57">
        <f>19191/639.7</f>
        <v>29.999999999999996</v>
      </c>
      <c r="M65" s="33"/>
      <c r="N65" s="33"/>
      <c r="O65" s="33"/>
      <c r="P65" s="19"/>
      <c r="Q65" s="8"/>
      <c r="R65"/>
      <c r="U65" s="20"/>
      <c r="V65" s="21"/>
      <c r="W65" s="21"/>
      <c r="X65" s="21"/>
      <c r="Y65" s="21"/>
    </row>
    <row r="66" spans="1:25" ht="30" customHeight="1">
      <c r="A66" s="78" t="s">
        <v>114</v>
      </c>
      <c r="B66" s="79"/>
      <c r="C66" s="79"/>
      <c r="D66" s="80"/>
      <c r="E66" s="44">
        <f>SUM(E4:E65)</f>
        <v>10415.36</v>
      </c>
      <c r="F66" s="45">
        <f>SUM(F3:F64)</f>
        <v>9532.914767354041</v>
      </c>
      <c r="G66" s="45">
        <f>SUM(G3:G64)</f>
        <v>9384.7085525003131</v>
      </c>
      <c r="H66" s="45">
        <f t="shared" ref="H66:Q66" si="0">SUM(H3:H64)</f>
        <v>9226.8924767138378</v>
      </c>
      <c r="I66" s="45">
        <f t="shared" si="0"/>
        <v>8053.3912122747097</v>
      </c>
      <c r="J66" s="45">
        <f t="shared" si="0"/>
        <v>5854.0059324711829</v>
      </c>
      <c r="K66" s="45">
        <f t="shared" si="0"/>
        <v>360.62591220667963</v>
      </c>
      <c r="L66" s="45">
        <f t="shared" si="0"/>
        <v>239.99999999999997</v>
      </c>
      <c r="M66" s="45">
        <f t="shared" si="0"/>
        <v>0</v>
      </c>
      <c r="N66" s="45">
        <f t="shared" si="0"/>
        <v>0</v>
      </c>
      <c r="O66" s="45">
        <f t="shared" si="0"/>
        <v>0</v>
      </c>
      <c r="P66" s="45">
        <f t="shared" si="0"/>
        <v>0</v>
      </c>
      <c r="Q66" s="45">
        <f t="shared" si="0"/>
        <v>0</v>
      </c>
      <c r="R66"/>
    </row>
    <row r="67" spans="1:25">
      <c r="B67" s="11"/>
      <c r="F67" s="70"/>
      <c r="R67"/>
    </row>
    <row r="68" spans="1:25">
      <c r="E68" s="68"/>
      <c r="F68"/>
      <c r="G68"/>
      <c r="H68"/>
      <c r="I68"/>
      <c r="J68"/>
      <c r="K68"/>
      <c r="L68"/>
      <c r="M68"/>
      <c r="N68"/>
      <c r="O68"/>
      <c r="P68"/>
      <c r="Q68"/>
      <c r="R68"/>
    </row>
    <row r="69" spans="1:25">
      <c r="B69" s="11"/>
      <c r="G69"/>
      <c r="H69"/>
      <c r="I69"/>
      <c r="J69"/>
      <c r="K69"/>
      <c r="M69"/>
      <c r="N69"/>
      <c r="O69"/>
      <c r="P69"/>
      <c r="Q69"/>
      <c r="R69"/>
    </row>
    <row r="70" spans="1:25">
      <c r="B70" s="11"/>
      <c r="G70"/>
      <c r="H70"/>
      <c r="I70"/>
      <c r="J70"/>
      <c r="K70"/>
      <c r="M70"/>
      <c r="N70"/>
      <c r="O70"/>
      <c r="P70"/>
      <c r="Q70"/>
      <c r="R70"/>
    </row>
    <row r="71" spans="1:25">
      <c r="B71" s="11"/>
      <c r="G71"/>
      <c r="H71"/>
      <c r="I71"/>
      <c r="J71"/>
      <c r="K71"/>
      <c r="M71"/>
      <c r="N71"/>
      <c r="O71"/>
      <c r="P71"/>
      <c r="Q71"/>
      <c r="R71"/>
    </row>
    <row r="72" spans="1:25">
      <c r="F72"/>
      <c r="G72"/>
      <c r="H72"/>
      <c r="I72"/>
      <c r="J72"/>
      <c r="K72"/>
      <c r="L72"/>
      <c r="M72"/>
      <c r="N72"/>
      <c r="O72"/>
      <c r="P72"/>
      <c r="Q72"/>
      <c r="R72"/>
    </row>
    <row r="73" spans="1:25">
      <c r="F73"/>
      <c r="G73"/>
      <c r="H73"/>
      <c r="I73"/>
      <c r="J73"/>
      <c r="K73"/>
      <c r="L73"/>
      <c r="M73"/>
      <c r="N73"/>
      <c r="O73"/>
      <c r="P73"/>
      <c r="Q73"/>
      <c r="R73"/>
    </row>
    <row r="74" spans="1:25">
      <c r="F74"/>
      <c r="G74"/>
      <c r="H74"/>
      <c r="I74"/>
      <c r="J74"/>
      <c r="K74"/>
      <c r="L74"/>
      <c r="M74"/>
      <c r="N74"/>
      <c r="O74"/>
      <c r="P74"/>
      <c r="Q74"/>
      <c r="R74"/>
    </row>
    <row r="75" spans="1:25">
      <c r="F75"/>
      <c r="G75"/>
      <c r="H75"/>
      <c r="I75"/>
      <c r="J75"/>
      <c r="K75"/>
      <c r="L75"/>
      <c r="M75"/>
      <c r="N75"/>
      <c r="O75"/>
      <c r="P75"/>
      <c r="Q75"/>
      <c r="R75"/>
    </row>
    <row r="76" spans="1:25">
      <c r="F76"/>
      <c r="G76"/>
      <c r="H76"/>
      <c r="I76"/>
      <c r="J76"/>
      <c r="K76"/>
      <c r="L76"/>
      <c r="M76"/>
      <c r="N76"/>
      <c r="O76"/>
      <c r="P76"/>
      <c r="Q76"/>
      <c r="R76"/>
    </row>
    <row r="77" spans="1:25">
      <c r="F77"/>
      <c r="G77"/>
      <c r="H77"/>
      <c r="I77"/>
      <c r="J77"/>
      <c r="K77"/>
      <c r="L77"/>
      <c r="M77"/>
      <c r="N77"/>
      <c r="O77"/>
      <c r="P77"/>
      <c r="Q77"/>
      <c r="R77"/>
    </row>
    <row r="78" spans="1:25">
      <c r="F78"/>
      <c r="G78"/>
      <c r="H78"/>
      <c r="I78"/>
      <c r="J78"/>
      <c r="K78"/>
      <c r="L78"/>
      <c r="M78"/>
      <c r="N78"/>
      <c r="O78"/>
      <c r="P78"/>
      <c r="Q78"/>
      <c r="R78"/>
    </row>
    <row r="79" spans="1:25">
      <c r="F79"/>
      <c r="G79"/>
      <c r="H79"/>
      <c r="I79"/>
      <c r="J79"/>
      <c r="K79"/>
      <c r="L79"/>
      <c r="M79"/>
      <c r="N79"/>
      <c r="O79"/>
      <c r="P79"/>
      <c r="Q79"/>
      <c r="R79"/>
    </row>
    <row r="80" spans="1:25">
      <c r="F80"/>
      <c r="G80"/>
      <c r="H80"/>
      <c r="I80"/>
      <c r="J80"/>
      <c r="K80"/>
      <c r="L80"/>
      <c r="M80"/>
      <c r="N80"/>
      <c r="O80"/>
      <c r="P80"/>
      <c r="Q80"/>
      <c r="R80"/>
    </row>
    <row r="81" spans="2:18">
      <c r="F81"/>
      <c r="G81"/>
      <c r="H81"/>
      <c r="I81"/>
      <c r="J81"/>
      <c r="K81"/>
      <c r="L81"/>
      <c r="M81"/>
      <c r="N81"/>
      <c r="O81"/>
      <c r="P81"/>
      <c r="Q81"/>
      <c r="R81"/>
    </row>
    <row r="82" spans="2:18">
      <c r="F82"/>
      <c r="G82"/>
      <c r="H82"/>
      <c r="I82"/>
      <c r="J82"/>
      <c r="K82"/>
      <c r="L82"/>
      <c r="M82"/>
      <c r="N82"/>
      <c r="O82"/>
      <c r="P82"/>
      <c r="Q82"/>
      <c r="R82"/>
    </row>
    <row r="83" spans="2:18">
      <c r="F83"/>
      <c r="G83"/>
      <c r="H83"/>
      <c r="I83"/>
      <c r="J83"/>
      <c r="K83"/>
      <c r="L83"/>
      <c r="M83"/>
      <c r="N83"/>
      <c r="O83"/>
      <c r="P83"/>
      <c r="Q83"/>
      <c r="R83"/>
    </row>
    <row r="84" spans="2:18">
      <c r="B84" s="11"/>
      <c r="G84"/>
      <c r="H84"/>
      <c r="I84"/>
      <c r="J84"/>
      <c r="K84"/>
      <c r="M84"/>
      <c r="N84"/>
      <c r="O84"/>
      <c r="P84"/>
      <c r="Q84"/>
      <c r="R84"/>
    </row>
    <row r="85" spans="2:18">
      <c r="B85" s="11"/>
      <c r="G85"/>
      <c r="H85"/>
      <c r="I85"/>
      <c r="J85"/>
      <c r="K85"/>
      <c r="M85"/>
      <c r="N85"/>
      <c r="O85"/>
      <c r="P85"/>
      <c r="Q85"/>
      <c r="R85"/>
    </row>
    <row r="86" spans="2:18">
      <c r="B86" s="11"/>
      <c r="G86"/>
      <c r="H86"/>
      <c r="I86"/>
      <c r="J86"/>
      <c r="K86"/>
      <c r="M86"/>
      <c r="N86"/>
      <c r="O86"/>
      <c r="P86"/>
      <c r="Q86"/>
      <c r="R86"/>
    </row>
    <row r="87" spans="2:18">
      <c r="B87" s="11"/>
      <c r="G87"/>
      <c r="H87"/>
      <c r="I87"/>
      <c r="J87"/>
      <c r="K87"/>
      <c r="M87"/>
      <c r="N87"/>
      <c r="O87"/>
      <c r="P87"/>
      <c r="Q87"/>
      <c r="R87"/>
    </row>
  </sheetData>
  <autoFilter ref="A3:Q66" xr:uid="{00000000-0009-0000-0000-000000000000}"/>
  <mergeCells count="11">
    <mergeCell ref="A61:A64"/>
    <mergeCell ref="A66:D66"/>
    <mergeCell ref="A38:A48"/>
    <mergeCell ref="A58:A60"/>
    <mergeCell ref="A1:Q2"/>
    <mergeCell ref="A26:A31"/>
    <mergeCell ref="A32:A37"/>
    <mergeCell ref="A49:A51"/>
    <mergeCell ref="A52:A57"/>
    <mergeCell ref="A4:A20"/>
    <mergeCell ref="A21:A25"/>
  </mergeCells>
  <phoneticPr fontId="27" type="noConversion"/>
  <pageMargins left="0.7" right="0.7" top="0.75" bottom="0.75" header="0.3" footer="0.3"/>
  <pageSetup orientation="portrait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P23"/>
  <sheetViews>
    <sheetView showGridLines="0" tabSelected="1" workbookViewId="0">
      <selection activeCell="E22" sqref="E22:E23"/>
    </sheetView>
  </sheetViews>
  <sheetFormatPr baseColWidth="10" defaultColWidth="11" defaultRowHeight="15"/>
  <cols>
    <col min="1" max="1" width="15.7109375" customWidth="1"/>
    <col min="2" max="2" width="20.7109375" bestFit="1" customWidth="1"/>
    <col min="3" max="3" width="36.85546875" bestFit="1" customWidth="1"/>
    <col min="4" max="4" width="17.7109375" bestFit="1" customWidth="1"/>
    <col min="6" max="6" width="11.28515625" bestFit="1" customWidth="1"/>
  </cols>
  <sheetData>
    <row r="1" spans="1:16">
      <c r="A1" s="86" t="s">
        <v>117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8"/>
    </row>
    <row r="2" spans="1:16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1"/>
    </row>
    <row r="3" spans="1:16" s="2" customFormat="1">
      <c r="A3" s="25" t="s">
        <v>1</v>
      </c>
      <c r="B3" s="25" t="s">
        <v>42</v>
      </c>
      <c r="C3" s="25" t="s">
        <v>43</v>
      </c>
      <c r="D3" s="25" t="s">
        <v>4</v>
      </c>
      <c r="E3" s="25" t="s">
        <v>5</v>
      </c>
      <c r="F3" s="25" t="s">
        <v>6</v>
      </c>
      <c r="G3" s="25" t="s">
        <v>7</v>
      </c>
      <c r="H3" s="25" t="s">
        <v>8</v>
      </c>
      <c r="I3" s="25" t="s">
        <v>9</v>
      </c>
      <c r="J3" s="25" t="s">
        <v>10</v>
      </c>
      <c r="K3" s="25" t="s">
        <v>11</v>
      </c>
      <c r="L3" s="25" t="s">
        <v>12</v>
      </c>
      <c r="M3" s="25" t="s">
        <v>13</v>
      </c>
      <c r="N3" s="25" t="s">
        <v>14</v>
      </c>
      <c r="O3" s="25" t="s">
        <v>15</v>
      </c>
      <c r="P3" s="25" t="s">
        <v>16</v>
      </c>
    </row>
    <row r="4" spans="1:16" s="1" customFormat="1">
      <c r="A4" s="6" t="s">
        <v>33</v>
      </c>
      <c r="B4" s="7" t="s">
        <v>34</v>
      </c>
      <c r="C4" s="6" t="s">
        <v>44</v>
      </c>
      <c r="D4" s="34">
        <v>55</v>
      </c>
      <c r="E4" s="33">
        <f>18240.75/405.35</f>
        <v>45</v>
      </c>
      <c r="F4" s="33">
        <f>26243.25/477.15</f>
        <v>55</v>
      </c>
      <c r="G4" s="33">
        <f>26243.25/477.15</f>
        <v>55</v>
      </c>
      <c r="H4" s="33">
        <f>26925.25/489.55</f>
        <v>55</v>
      </c>
      <c r="I4" s="33"/>
      <c r="J4" s="33"/>
      <c r="K4" s="33"/>
      <c r="L4" s="33"/>
      <c r="M4" s="33"/>
      <c r="N4" s="8"/>
      <c r="O4" s="8"/>
      <c r="P4" s="8"/>
    </row>
    <row r="5" spans="1:16" s="1" customFormat="1">
      <c r="A5" s="6" t="s">
        <v>33</v>
      </c>
      <c r="B5" s="7" t="s">
        <v>34</v>
      </c>
      <c r="C5" s="6" t="s">
        <v>45</v>
      </c>
      <c r="D5" s="34">
        <v>10</v>
      </c>
      <c r="E5" s="33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0</v>
      </c>
      <c r="P5" s="33">
        <v>0</v>
      </c>
    </row>
    <row r="6" spans="1:16" s="1" customFormat="1">
      <c r="A6" s="6" t="s">
        <v>33</v>
      </c>
      <c r="B6" s="7" t="s">
        <v>34</v>
      </c>
      <c r="C6" s="6" t="s">
        <v>104</v>
      </c>
      <c r="D6" s="34">
        <v>15</v>
      </c>
      <c r="E6" s="33">
        <f>4714.7/308.15</f>
        <v>15.300016225864027</v>
      </c>
      <c r="F6" s="33">
        <f>5693.283/372.11</f>
        <v>15.3</v>
      </c>
      <c r="G6" s="33">
        <f>6594.45/431.01</f>
        <v>15.299993039604649</v>
      </c>
      <c r="H6" s="33">
        <f>7475/493.4</f>
        <v>15.149979732468585</v>
      </c>
      <c r="I6" s="33"/>
      <c r="J6" s="33"/>
      <c r="K6" s="33"/>
      <c r="L6" s="33"/>
      <c r="M6" s="33"/>
      <c r="N6" s="33"/>
      <c r="O6" s="33"/>
      <c r="P6" s="8"/>
    </row>
    <row r="7" spans="1:16">
      <c r="A7" s="6" t="s">
        <v>33</v>
      </c>
      <c r="B7" s="7" t="s">
        <v>34</v>
      </c>
      <c r="C7" s="23" t="s">
        <v>58</v>
      </c>
      <c r="D7" s="34">
        <f>55+20</f>
        <v>75</v>
      </c>
      <c r="E7" s="33">
        <f>(7652.6/382.63)+(23675.23/382.63)</f>
        <v>81.874996733136442</v>
      </c>
      <c r="F7" s="33">
        <f>(7652.6/382.63)+(26073.3/474.06)</f>
        <v>75</v>
      </c>
      <c r="G7" s="33">
        <f>(9481.2/474.06)+(26073.3/474.06)</f>
        <v>75</v>
      </c>
      <c r="H7" s="33">
        <f>(9481.2/474.06)+(27973/508.6)</f>
        <v>75</v>
      </c>
      <c r="I7" s="33">
        <f>10172/508.6</f>
        <v>20</v>
      </c>
      <c r="J7" s="33"/>
      <c r="K7" s="33"/>
      <c r="L7" s="33"/>
      <c r="M7" s="33"/>
      <c r="N7" s="33"/>
      <c r="O7" s="22"/>
      <c r="P7" s="22"/>
    </row>
    <row r="8" spans="1:16">
      <c r="A8" s="6" t="s">
        <v>33</v>
      </c>
      <c r="B8" s="7" t="s">
        <v>84</v>
      </c>
      <c r="C8" s="23" t="s">
        <v>59</v>
      </c>
      <c r="D8" s="34">
        <v>200</v>
      </c>
      <c r="E8" s="33">
        <f>72100/360.5</f>
        <v>200</v>
      </c>
      <c r="F8" s="33">
        <f>87928/439.64</f>
        <v>200</v>
      </c>
      <c r="G8" s="33">
        <f>99924/499.62</f>
        <v>200</v>
      </c>
      <c r="H8" s="33">
        <f>110180/550.9</f>
        <v>200</v>
      </c>
      <c r="I8" s="33">
        <f>119320/596.6</f>
        <v>200</v>
      </c>
      <c r="J8" s="33"/>
      <c r="K8" s="33"/>
      <c r="L8" s="33"/>
      <c r="M8" s="33"/>
      <c r="N8" s="33"/>
      <c r="O8" s="33"/>
      <c r="P8" s="22"/>
    </row>
    <row r="9" spans="1:16">
      <c r="A9" s="6" t="s">
        <v>33</v>
      </c>
      <c r="B9" s="43" t="s">
        <v>34</v>
      </c>
      <c r="C9" s="23" t="s">
        <v>60</v>
      </c>
      <c r="D9" s="34">
        <v>450</v>
      </c>
      <c r="E9" s="33">
        <v>0</v>
      </c>
      <c r="F9" s="35">
        <v>0</v>
      </c>
      <c r="G9" s="33">
        <v>0</v>
      </c>
      <c r="H9" s="33">
        <f>229864.145/530.5</f>
        <v>433.2971630537229</v>
      </c>
      <c r="I9" s="33"/>
      <c r="J9" s="33"/>
      <c r="K9" s="33"/>
      <c r="L9" s="33"/>
      <c r="M9" s="33"/>
      <c r="N9" s="33"/>
      <c r="O9" s="33"/>
      <c r="P9" s="33"/>
    </row>
    <row r="10" spans="1:16">
      <c r="A10" s="6" t="s">
        <v>33</v>
      </c>
      <c r="B10" s="43" t="s">
        <v>34</v>
      </c>
      <c r="C10" s="73" t="s">
        <v>172</v>
      </c>
      <c r="D10" s="34">
        <v>300</v>
      </c>
      <c r="E10" s="33">
        <f>165341.29/530.5</f>
        <v>311.67066918001888</v>
      </c>
      <c r="F10" s="35">
        <f>168924.12/530.5</f>
        <v>318.42435438265784</v>
      </c>
      <c r="G10" s="33">
        <f>134902.77/484.74</f>
        <v>278.29923257828938</v>
      </c>
      <c r="H10" s="33">
        <f>155000.74/520.91</f>
        <v>297.55762031828914</v>
      </c>
      <c r="I10" s="33"/>
      <c r="J10" s="33"/>
      <c r="K10" s="33"/>
      <c r="L10" s="33"/>
      <c r="M10" s="33"/>
      <c r="N10" s="33"/>
      <c r="O10" s="22"/>
      <c r="P10" s="22"/>
    </row>
    <row r="11" spans="1:16">
      <c r="A11" s="14" t="s">
        <v>33</v>
      </c>
      <c r="B11" s="7">
        <v>8</v>
      </c>
      <c r="C11" s="14" t="s">
        <v>178</v>
      </c>
      <c r="D11" s="34">
        <v>150</v>
      </c>
      <c r="E11" s="33">
        <f>69499.8122/520.91</f>
        <v>133.42000000000002</v>
      </c>
      <c r="F11" s="35">
        <f>59618.1495/520.91</f>
        <v>114.45</v>
      </c>
      <c r="G11" s="33">
        <f>76490.4244/520.91</f>
        <v>146.84</v>
      </c>
      <c r="H11" s="33">
        <f>72390.8627/520.91</f>
        <v>138.97</v>
      </c>
      <c r="I11" s="33"/>
      <c r="J11" s="33"/>
      <c r="K11" s="33"/>
      <c r="L11" s="33"/>
      <c r="M11" s="33"/>
      <c r="N11" s="33"/>
      <c r="O11" s="22"/>
      <c r="P11" s="22"/>
    </row>
    <row r="12" spans="1:16" s="1" customFormat="1">
      <c r="A12" s="6" t="s">
        <v>101</v>
      </c>
      <c r="B12" s="7" t="s">
        <v>179</v>
      </c>
      <c r="C12" s="6" t="s">
        <v>102</v>
      </c>
      <c r="D12" s="34">
        <v>70</v>
      </c>
      <c r="E12" s="32">
        <f>21327.6/304.68</f>
        <v>70</v>
      </c>
      <c r="F12" s="33">
        <f>26677.7/381.11</f>
        <v>70</v>
      </c>
      <c r="G12" s="33">
        <f>30170.7/431.01</f>
        <v>70</v>
      </c>
      <c r="H12" s="33">
        <f>33173.7/473.92</f>
        <v>69.998522957461162</v>
      </c>
      <c r="I12" s="33">
        <f>34034/486.2</f>
        <v>70</v>
      </c>
      <c r="J12" s="33">
        <f>36257.2/517.96</f>
        <v>69.999999999999986</v>
      </c>
      <c r="K12" s="33"/>
      <c r="L12" s="33"/>
      <c r="M12" s="33"/>
      <c r="N12" s="33"/>
      <c r="O12" s="33"/>
      <c r="P12" s="33"/>
    </row>
    <row r="13" spans="1:16" s="1" customFormat="1">
      <c r="A13" s="6" t="s">
        <v>17</v>
      </c>
      <c r="B13" s="7" t="s">
        <v>103</v>
      </c>
      <c r="C13" s="6" t="s">
        <v>177</v>
      </c>
      <c r="D13" s="34">
        <v>28</v>
      </c>
      <c r="E13" s="32">
        <v>0</v>
      </c>
      <c r="F13" s="33">
        <v>0</v>
      </c>
      <c r="G13" s="33">
        <f>13118.406/468.51</f>
        <v>28.000268937696102</v>
      </c>
      <c r="H13" s="33">
        <f>13707.53/489.55</f>
        <v>28.000265549994893</v>
      </c>
      <c r="I13" s="33">
        <f>14990.79/535.39</f>
        <v>27.999757186350141</v>
      </c>
      <c r="J13" s="33"/>
      <c r="K13" s="33"/>
      <c r="L13" s="33"/>
      <c r="M13" s="33"/>
      <c r="N13" s="33"/>
      <c r="O13" s="33"/>
      <c r="P13" s="33"/>
    </row>
    <row r="14" spans="1:16" s="1" customFormat="1">
      <c r="A14" s="6" t="s">
        <v>182</v>
      </c>
      <c r="B14" s="7"/>
      <c r="C14" s="6"/>
      <c r="D14" s="34"/>
      <c r="E14" s="32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</row>
    <row r="15" spans="1:16">
      <c r="A15" s="50" t="s">
        <v>75</v>
      </c>
      <c r="B15" s="49" t="s">
        <v>99</v>
      </c>
      <c r="C15" s="28" t="s">
        <v>76</v>
      </c>
      <c r="D15" s="35">
        <v>21</v>
      </c>
      <c r="E15" s="33">
        <f>7793.44/378.46</f>
        <v>20.592506473603553</v>
      </c>
      <c r="F15" s="33">
        <f>8102.31/438.2</f>
        <v>18.489981743496124</v>
      </c>
      <c r="G15" s="33">
        <v>0</v>
      </c>
      <c r="H15" s="33">
        <f>8681.04/499.77</f>
        <v>17.370070232306862</v>
      </c>
      <c r="I15" s="33"/>
      <c r="J15" s="33"/>
      <c r="K15" s="33"/>
      <c r="L15" s="33"/>
      <c r="M15" s="33"/>
      <c r="N15" s="33"/>
      <c r="O15" s="33"/>
      <c r="P15" s="33"/>
    </row>
    <row r="16" spans="1:16" ht="30" customHeight="1">
      <c r="A16" s="92" t="s">
        <v>95</v>
      </c>
      <c r="B16" s="79"/>
      <c r="C16" s="80"/>
      <c r="D16" s="47">
        <f>SUM(D4:D15)</f>
        <v>1374</v>
      </c>
      <c r="E16" s="48">
        <f>SUM(E4:E15)</f>
        <v>877.85818861262294</v>
      </c>
      <c r="F16" s="48">
        <f t="shared" ref="F16:P16" si="0">SUM(F4:F15)</f>
        <v>866.66433612615401</v>
      </c>
      <c r="G16" s="48">
        <f t="shared" si="0"/>
        <v>868.43949455559016</v>
      </c>
      <c r="H16" s="48">
        <f t="shared" si="0"/>
        <v>1330.3436218442437</v>
      </c>
      <c r="I16" s="48">
        <f t="shared" si="0"/>
        <v>317.99975718635017</v>
      </c>
      <c r="J16" s="48">
        <f t="shared" si="0"/>
        <v>69.999999999999986</v>
      </c>
      <c r="K16" s="48">
        <f t="shared" si="0"/>
        <v>0</v>
      </c>
      <c r="L16" s="48">
        <f t="shared" si="0"/>
        <v>0</v>
      </c>
      <c r="M16" s="48">
        <f t="shared" si="0"/>
        <v>0</v>
      </c>
      <c r="N16" s="48">
        <f t="shared" si="0"/>
        <v>0</v>
      </c>
      <c r="O16" s="48">
        <f t="shared" si="0"/>
        <v>0</v>
      </c>
      <c r="P16" s="48">
        <f t="shared" si="0"/>
        <v>0</v>
      </c>
    </row>
    <row r="17" spans="5:10">
      <c r="E17" s="27"/>
      <c r="F17" s="1"/>
      <c r="G17" s="1"/>
    </row>
    <row r="18" spans="5:10">
      <c r="E18" s="1"/>
      <c r="F18" s="1"/>
      <c r="G18" s="42"/>
    </row>
    <row r="19" spans="5:10">
      <c r="E19" s="1"/>
      <c r="F19" s="1"/>
      <c r="G19" s="1"/>
    </row>
    <row r="20" spans="5:10">
      <c r="E20" s="1"/>
      <c r="F20" s="1"/>
      <c r="G20" s="1"/>
    </row>
    <row r="21" spans="5:10">
      <c r="E21" s="1"/>
      <c r="F21" s="1"/>
      <c r="G21" s="1"/>
    </row>
    <row r="22" spans="5:10">
      <c r="E22" s="1"/>
      <c r="F22" s="1"/>
      <c r="G22" s="1"/>
      <c r="J22" s="53"/>
    </row>
    <row r="23" spans="5:10">
      <c r="E23" s="1"/>
      <c r="F23" s="1"/>
      <c r="G23" s="1"/>
    </row>
  </sheetData>
  <mergeCells count="2">
    <mergeCell ref="A1:P2"/>
    <mergeCell ref="A16:C16"/>
  </mergeCells>
  <pageMargins left="0.7" right="0.7" top="0.75" bottom="0.75" header="0.3" footer="0.3"/>
  <pageSetup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P19"/>
  <sheetViews>
    <sheetView showGridLines="0" workbookViewId="0">
      <selection activeCell="F24" sqref="F24"/>
    </sheetView>
  </sheetViews>
  <sheetFormatPr baseColWidth="10" defaultColWidth="11" defaultRowHeight="15"/>
  <cols>
    <col min="1" max="1" width="27.85546875" bestFit="1" customWidth="1"/>
    <col min="2" max="2" width="17.28515625" customWidth="1"/>
    <col min="3" max="3" width="34.42578125" customWidth="1"/>
    <col min="4" max="4" width="17.7109375" bestFit="1" customWidth="1"/>
    <col min="5" max="5" width="12.28515625" bestFit="1" customWidth="1"/>
    <col min="6" max="6" width="11.28515625" bestFit="1" customWidth="1"/>
    <col min="7" max="8" width="12.140625" bestFit="1" customWidth="1"/>
    <col min="9" max="10" width="11.42578125" bestFit="1" customWidth="1"/>
    <col min="11" max="11" width="11.28515625" bestFit="1" customWidth="1"/>
    <col min="12" max="12" width="11.42578125" bestFit="1" customWidth="1"/>
    <col min="13" max="13" width="12.42578125" bestFit="1" customWidth="1"/>
    <col min="14" max="14" width="11.42578125" bestFit="1" customWidth="1"/>
  </cols>
  <sheetData>
    <row r="1" spans="1:16" s="1" customFormat="1">
      <c r="A1" s="93" t="s">
        <v>118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4"/>
    </row>
    <row r="2" spans="1:16" s="1" customFormat="1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6"/>
    </row>
    <row r="3" spans="1:16" s="2" customFormat="1">
      <c r="A3" s="12" t="s">
        <v>1</v>
      </c>
      <c r="B3" s="12" t="s">
        <v>42</v>
      </c>
      <c r="C3" s="12" t="s">
        <v>43</v>
      </c>
      <c r="D3" s="12" t="s">
        <v>4</v>
      </c>
      <c r="E3" s="12" t="s">
        <v>5</v>
      </c>
      <c r="F3" s="12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2" t="s">
        <v>15</v>
      </c>
      <c r="P3" s="12" t="s">
        <v>16</v>
      </c>
    </row>
    <row r="4" spans="1:16" s="1" customFormat="1" ht="17.25" customHeight="1">
      <c r="A4" s="3" t="s">
        <v>90</v>
      </c>
      <c r="B4" s="4" t="s">
        <v>46</v>
      </c>
      <c r="C4" s="3" t="s">
        <v>100</v>
      </c>
      <c r="D4" s="36">
        <v>20</v>
      </c>
      <c r="E4" s="32">
        <v>0</v>
      </c>
      <c r="F4" s="37">
        <v>0</v>
      </c>
      <c r="G4" s="33">
        <v>0</v>
      </c>
      <c r="H4" s="33">
        <v>0</v>
      </c>
      <c r="I4" s="33">
        <v>0</v>
      </c>
      <c r="J4" s="33"/>
      <c r="K4" s="33"/>
      <c r="L4" s="33"/>
      <c r="M4" s="33"/>
      <c r="N4" s="33"/>
      <c r="O4" s="5"/>
      <c r="P4" s="5"/>
    </row>
    <row r="5" spans="1:16" s="1" customFormat="1" ht="17.25" customHeight="1">
      <c r="A5" s="6" t="s">
        <v>17</v>
      </c>
      <c r="B5" s="7" t="s">
        <v>47</v>
      </c>
      <c r="C5" s="6" t="s">
        <v>63</v>
      </c>
      <c r="D5" s="34">
        <v>28</v>
      </c>
      <c r="E5" s="32">
        <f>7703.75/308.15</f>
        <v>25.000000000000004</v>
      </c>
      <c r="F5" s="33">
        <f>10884.72/388.74</f>
        <v>27.999999999999996</v>
      </c>
      <c r="G5" s="33">
        <f>11759.64/419.99</f>
        <v>27.999809519274265</v>
      </c>
      <c r="H5" s="33">
        <f>13707.53/489.55</f>
        <v>28.000265549994893</v>
      </c>
      <c r="I5" s="33">
        <f>13707.53/489.55</f>
        <v>28.000265549994893</v>
      </c>
      <c r="J5" s="33"/>
      <c r="K5" s="33"/>
      <c r="L5" s="33"/>
      <c r="M5" s="33"/>
      <c r="N5" s="33"/>
      <c r="O5" s="33"/>
      <c r="P5" s="8"/>
    </row>
    <row r="6" spans="1:16" s="1" customFormat="1">
      <c r="A6" s="9" t="s">
        <v>17</v>
      </c>
      <c r="B6" s="7" t="s">
        <v>47</v>
      </c>
      <c r="C6" s="6" t="s">
        <v>62</v>
      </c>
      <c r="D6" s="34">
        <v>25</v>
      </c>
      <c r="E6" s="32">
        <v>0</v>
      </c>
      <c r="F6" s="32">
        <v>0</v>
      </c>
      <c r="G6" s="32">
        <v>0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  <c r="P6" s="33">
        <v>0</v>
      </c>
    </row>
    <row r="7" spans="1:16" s="1" customFormat="1">
      <c r="A7" s="6" t="s">
        <v>48</v>
      </c>
      <c r="B7" s="7" t="s">
        <v>49</v>
      </c>
      <c r="C7" s="6" t="s">
        <v>50</v>
      </c>
      <c r="D7" s="34">
        <v>100</v>
      </c>
      <c r="E7" s="32">
        <f>27733.5/308.15</f>
        <v>90</v>
      </c>
      <c r="F7" s="33">
        <f>34436.7/382.63</f>
        <v>90</v>
      </c>
      <c r="G7" s="33">
        <f>45547.35/471.7</f>
        <v>96.55999576001696</v>
      </c>
      <c r="H7" s="33">
        <f>48955/489.55</f>
        <v>100</v>
      </c>
      <c r="I7" s="33">
        <f>44059.5/489.55</f>
        <v>90</v>
      </c>
      <c r="J7" s="33"/>
      <c r="K7" s="33"/>
      <c r="L7" s="33"/>
      <c r="M7" s="33"/>
      <c r="N7" s="33"/>
      <c r="O7" s="33"/>
      <c r="P7" s="33"/>
    </row>
    <row r="8" spans="1:16" s="1" customFormat="1">
      <c r="A8" s="6" t="s">
        <v>92</v>
      </c>
      <c r="B8" s="7" t="s">
        <v>93</v>
      </c>
      <c r="C8" s="6" t="s">
        <v>94</v>
      </c>
      <c r="D8" s="34">
        <v>225.92</v>
      </c>
      <c r="E8" s="32">
        <f>106907.05/361.49</f>
        <v>295.73999280754657</v>
      </c>
      <c r="F8" s="33">
        <f>120478.56/407.38</f>
        <v>295.73999705434727</v>
      </c>
      <c r="G8" s="33">
        <f>140157.1/474.06</f>
        <v>295.65266000084381</v>
      </c>
      <c r="H8" s="33">
        <f>142771.44/482.76</f>
        <v>295.73999502858567</v>
      </c>
      <c r="I8" s="33">
        <f>156890.07/530.5</f>
        <v>295.74</v>
      </c>
      <c r="J8" s="33"/>
      <c r="K8" s="33"/>
      <c r="L8" s="33"/>
      <c r="M8" s="33"/>
      <c r="N8" s="33"/>
      <c r="O8" s="8"/>
      <c r="P8" s="8"/>
    </row>
    <row r="9" spans="1:16" s="1" customFormat="1">
      <c r="A9" s="6" t="s">
        <v>51</v>
      </c>
      <c r="B9" s="7" t="s">
        <v>52</v>
      </c>
      <c r="C9" s="6" t="s">
        <v>53</v>
      </c>
      <c r="D9" s="34">
        <v>160</v>
      </c>
      <c r="E9" s="32">
        <f>40+40+40+40+40</f>
        <v>200</v>
      </c>
      <c r="F9" s="33">
        <f>40+40+40+40</f>
        <v>160</v>
      </c>
      <c r="G9" s="33">
        <f>40+40+40+40</f>
        <v>160</v>
      </c>
      <c r="H9" s="33">
        <f>40+40+40+40</f>
        <v>160</v>
      </c>
      <c r="I9" s="33">
        <f>40+40+40+40</f>
        <v>160</v>
      </c>
      <c r="J9" s="33"/>
      <c r="K9" s="33"/>
      <c r="L9" s="33"/>
      <c r="M9" s="33"/>
      <c r="N9" s="33"/>
      <c r="O9" s="33"/>
      <c r="P9" s="8"/>
    </row>
    <row r="10" spans="1:16" s="1" customFormat="1">
      <c r="A10" s="6" t="s">
        <v>51</v>
      </c>
      <c r="B10" s="7" t="s">
        <v>54</v>
      </c>
      <c r="C10" s="6" t="s">
        <v>91</v>
      </c>
      <c r="D10" s="34">
        <v>400</v>
      </c>
      <c r="E10" s="32">
        <f>100+100+100+100+100</f>
        <v>500</v>
      </c>
      <c r="F10" s="33">
        <f>100+100+100+100</f>
        <v>400</v>
      </c>
      <c r="G10" s="33">
        <f>100+100+100+100</f>
        <v>400</v>
      </c>
      <c r="H10" s="33">
        <f>100+100+100+100</f>
        <v>400</v>
      </c>
      <c r="I10" s="33">
        <f>100+100+100+100</f>
        <v>400</v>
      </c>
      <c r="J10" s="33"/>
      <c r="K10" s="33"/>
      <c r="L10" s="33"/>
      <c r="M10" s="33"/>
      <c r="N10" s="33"/>
      <c r="O10" s="33"/>
      <c r="P10" s="8"/>
    </row>
    <row r="11" spans="1:16" s="1" customFormat="1">
      <c r="A11" s="6" t="s">
        <v>51</v>
      </c>
      <c r="B11" s="7" t="s">
        <v>55</v>
      </c>
      <c r="C11" s="6" t="s">
        <v>81</v>
      </c>
      <c r="D11" s="34">
        <v>400</v>
      </c>
      <c r="E11" s="32">
        <f>100+100+100+100</f>
        <v>400</v>
      </c>
      <c r="F11" s="33">
        <f>100+100+100+100</f>
        <v>400</v>
      </c>
      <c r="G11" s="33">
        <f>100+100+100+100+100</f>
        <v>500</v>
      </c>
      <c r="H11" s="33">
        <f>100+100+100+100</f>
        <v>400</v>
      </c>
      <c r="I11" s="33">
        <f>100+100+100</f>
        <v>300</v>
      </c>
      <c r="J11" s="33"/>
      <c r="K11" s="33"/>
      <c r="L11" s="33"/>
      <c r="M11" s="33"/>
      <c r="N11" s="33"/>
      <c r="O11" s="33"/>
      <c r="P11" s="8"/>
    </row>
    <row r="12" spans="1:16" s="1" customFormat="1">
      <c r="A12" s="6" t="s">
        <v>97</v>
      </c>
      <c r="B12" s="7" t="s">
        <v>83</v>
      </c>
      <c r="C12" s="6" t="s">
        <v>98</v>
      </c>
      <c r="D12" s="34">
        <v>120</v>
      </c>
      <c r="E12" s="32">
        <f>48642/405.35</f>
        <v>120</v>
      </c>
      <c r="F12" s="32">
        <f>48642/405.35</f>
        <v>120</v>
      </c>
      <c r="G12" s="33">
        <f>57429.6/478.58</f>
        <v>120</v>
      </c>
      <c r="H12" s="33">
        <f>57429.6/478.58</f>
        <v>120</v>
      </c>
      <c r="I12" s="33">
        <f>63660/530.5</f>
        <v>120</v>
      </c>
      <c r="J12" s="33"/>
      <c r="K12" s="33"/>
      <c r="L12" s="33"/>
      <c r="M12" s="33"/>
      <c r="N12" s="33"/>
      <c r="O12" s="8"/>
      <c r="P12" s="8"/>
    </row>
    <row r="13" spans="1:16">
      <c r="A13" s="26" t="s">
        <v>71</v>
      </c>
      <c r="B13" s="22"/>
      <c r="C13" s="38" t="s">
        <v>80</v>
      </c>
      <c r="D13" s="33">
        <v>140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</row>
    <row r="14" spans="1:16">
      <c r="A14" s="26" t="s">
        <v>72</v>
      </c>
      <c r="B14" s="22"/>
      <c r="C14" s="38" t="s">
        <v>69</v>
      </c>
      <c r="D14" s="33">
        <v>50</v>
      </c>
      <c r="E14" s="32">
        <f>20504.4/341.74</f>
        <v>60</v>
      </c>
      <c r="F14" s="32">
        <f>24321/405.35</f>
        <v>60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</row>
    <row r="15" spans="1:16">
      <c r="A15" s="26" t="s">
        <v>73</v>
      </c>
      <c r="B15" s="22"/>
      <c r="C15" s="38" t="s">
        <v>79</v>
      </c>
      <c r="D15" s="33">
        <v>60</v>
      </c>
      <c r="E15" s="32">
        <f>24843/414.05</f>
        <v>60</v>
      </c>
      <c r="F15" s="32">
        <f>24843/414.05</f>
        <v>60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</row>
    <row r="16" spans="1:16">
      <c r="A16" s="26" t="s">
        <v>74</v>
      </c>
      <c r="B16" s="39"/>
      <c r="C16" s="38" t="s">
        <v>78</v>
      </c>
      <c r="D16" s="33">
        <v>45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</row>
    <row r="17" spans="1:16" ht="15.75">
      <c r="A17" s="97" t="s">
        <v>96</v>
      </c>
      <c r="B17" s="97"/>
      <c r="C17" s="97"/>
      <c r="D17" s="46">
        <f>SUM(D4:D16)</f>
        <v>1773.92</v>
      </c>
      <c r="E17" s="46">
        <f t="shared" ref="E17:P17" si="0">SUM(E4:E16)</f>
        <v>1750.7399928075465</v>
      </c>
      <c r="F17" s="46">
        <f t="shared" si="0"/>
        <v>1613.7399970543472</v>
      </c>
      <c r="G17" s="46">
        <f>SUM(G4:G16)</f>
        <v>1600.2124652801349</v>
      </c>
      <c r="H17" s="46">
        <f t="shared" si="0"/>
        <v>1503.7402605785805</v>
      </c>
      <c r="I17" s="46">
        <f t="shared" si="0"/>
        <v>1393.740265549995</v>
      </c>
      <c r="J17" s="46">
        <f t="shared" si="0"/>
        <v>0</v>
      </c>
      <c r="K17" s="46">
        <f t="shared" si="0"/>
        <v>0</v>
      </c>
      <c r="L17" s="46">
        <f t="shared" si="0"/>
        <v>0</v>
      </c>
      <c r="M17" s="46">
        <f t="shared" si="0"/>
        <v>0</v>
      </c>
      <c r="N17" s="46">
        <f t="shared" si="0"/>
        <v>0</v>
      </c>
      <c r="O17" s="46">
        <f t="shared" si="0"/>
        <v>0</v>
      </c>
      <c r="P17" s="46">
        <f t="shared" si="0"/>
        <v>0</v>
      </c>
    </row>
    <row r="19" spans="1:16">
      <c r="J19" s="53"/>
    </row>
  </sheetData>
  <mergeCells count="2">
    <mergeCell ref="A1:P2"/>
    <mergeCell ref="A17:C1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GASTOS FIJOS PD-NE-E 2026</vt:lpstr>
      <vt:lpstr>GASTOS FIJOS GRUPO JE NU</vt:lpstr>
      <vt:lpstr>GASTOS FIJOS DIRECTIVO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 de los detalles</dc:creator>
  <cp:lastModifiedBy>Leonardo Jerez</cp:lastModifiedBy>
  <cp:lastPrinted>2025-11-05T22:52:56Z</cp:lastPrinted>
  <dcterms:created xsi:type="dcterms:W3CDTF">2025-01-09T20:47:00Z</dcterms:created>
  <dcterms:modified xsi:type="dcterms:W3CDTF">2026-07-14T14:20:51Z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0A3D3F20C1EC4C38AB4AD115E4C54B4C_12</vt:lpwstr>
  </property>
  <property fmtid="{D5CDD505-2E9C-101B-9397-08002B2CF9AE}" pid="3" name="KSOProductBuildVer">
    <vt:lpwstr>1033-12.2.0.19805</vt:lpwstr>
  </property>
</Properties>
</file>